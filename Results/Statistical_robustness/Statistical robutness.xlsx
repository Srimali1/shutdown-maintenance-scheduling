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urtin-my.sharepoint.com/personal/21013403_student_curtin_edu_au/Documents/PhD/SOLVING EXAMPLE/NEW INSTANCES/IJOC Results/"/>
    </mc:Choice>
  </mc:AlternateContent>
  <xr:revisionPtr revIDLastSave="25" documentId="11_F25DC773A252ABDACC1048F6B95856985BDE5916" xr6:coauthVersionLast="47" xr6:coauthVersionMax="47" xr10:uidLastSave="{AE4924B9-58FD-4DCA-B0A9-C502BBC15104}"/>
  <bookViews>
    <workbookView xWindow="-108" yWindow="-108" windowWidth="41496" windowHeight="16776" activeTab="4" xr2:uid="{00000000-000D-0000-FFFF-FFFF00000000}"/>
  </bookViews>
  <sheets>
    <sheet name="J_5" sheetId="1" r:id="rId1"/>
    <sheet name="J_6" sheetId="2" r:id="rId2"/>
    <sheet name="J_7" sheetId="3" r:id="rId3"/>
    <sheet name="J_8" sheetId="4" r:id="rId4"/>
    <sheet name="Statistical robutness SAA" sheetId="5" r:id="rId5"/>
  </sheets>
  <definedNames>
    <definedName name="_xlnm._FilterDatabase" localSheetId="0" hidden="1">J_5!$A$8:$D$8</definedName>
    <definedName name="_xlnm._FilterDatabase" localSheetId="1" hidden="1">J_6!$A$8:$D$8</definedName>
    <definedName name="_xlnm._FilterDatabase" localSheetId="2" hidden="1">J_7!$A$8:$D$8</definedName>
    <definedName name="_xlnm._FilterDatabase" localSheetId="3" hidden="1">J_8!$A$8:$D$8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3" i="5" l="1"/>
  <c r="D23" i="5"/>
  <c r="L6" i="4"/>
  <c r="C6" i="4"/>
  <c r="L5" i="4"/>
  <c r="C5" i="4"/>
  <c r="L4" i="4"/>
  <c r="C4" i="4"/>
  <c r="L3" i="4"/>
  <c r="C3" i="4"/>
  <c r="L2" i="4"/>
  <c r="C2" i="4"/>
  <c r="N6" i="3"/>
  <c r="C6" i="3"/>
  <c r="N5" i="3"/>
  <c r="C5" i="3"/>
  <c r="N4" i="3"/>
  <c r="C4" i="3"/>
  <c r="N3" i="3"/>
  <c r="C3" i="3"/>
  <c r="N2" i="3"/>
  <c r="C2" i="3"/>
  <c r="N6" i="2"/>
  <c r="C6" i="2"/>
  <c r="N5" i="2"/>
  <c r="C5" i="2"/>
  <c r="N4" i="2"/>
  <c r="C4" i="2"/>
  <c r="N3" i="2"/>
  <c r="C3" i="2"/>
  <c r="N2" i="2"/>
  <c r="C2" i="2"/>
  <c r="K6" i="1"/>
  <c r="D6" i="1"/>
  <c r="K5" i="1"/>
  <c r="D5" i="1"/>
  <c r="K4" i="1"/>
  <c r="D4" i="1"/>
  <c r="K3" i="1"/>
  <c r="D3" i="1"/>
  <c r="K2" i="1"/>
  <c r="D2" i="1"/>
</calcChain>
</file>

<file path=xl/sharedStrings.xml><?xml version="1.0" encoding="utf-8"?>
<sst xmlns="http://schemas.openxmlformats.org/spreadsheetml/2006/main" count="507" uniqueCount="57">
  <si>
    <t>Method 4</t>
  </si>
  <si>
    <t>J=5</t>
  </si>
  <si>
    <t>Instance</t>
  </si>
  <si>
    <t>Optimal solution</t>
  </si>
  <si>
    <t>No. times opt. solution obtained</t>
  </si>
  <si>
    <t>Solution frequency</t>
  </si>
  <si>
    <t>min</t>
  </si>
  <si>
    <t>(0, 1, 1, 1, 1)</t>
  </si>
  <si>
    <t>max</t>
  </si>
  <si>
    <t>mean</t>
  </si>
  <si>
    <t>(1, 1, 0, 1, 0)</t>
  </si>
  <si>
    <t>std</t>
  </si>
  <si>
    <t>(1, 1, 0, 0, 1)</t>
  </si>
  <si>
    <t>std/mean</t>
  </si>
  <si>
    <t>(1, 1, 1, 0, 1)</t>
  </si>
  <si>
    <t>seed</t>
  </si>
  <si>
    <t>Solution</t>
  </si>
  <si>
    <t>Objective value</t>
  </si>
  <si>
    <t>[0, 1, 0, 0, 1]</t>
  </si>
  <si>
    <t>[0, 0, 0, 0, 1]</t>
  </si>
  <si>
    <t>J=6</t>
  </si>
  <si>
    <t>(0, 0, 1, 1, 0, 1)</t>
  </si>
  <si>
    <t>(0, 1, 1, 1, 0, 0)</t>
  </si>
  <si>
    <t>(1, 1, 1, 0, 1, 1)</t>
  </si>
  <si>
    <t>(0, 1, 0, 0, 0, 0)</t>
  </si>
  <si>
    <t>(1, 0, 0, 1, 1, 0)</t>
  </si>
  <si>
    <t>[1, 0, 0, 0, 0, 0]</t>
  </si>
  <si>
    <t>[0, 0, 1, 0, 0, 0]</t>
  </si>
  <si>
    <t>J=7</t>
  </si>
  <si>
    <t>(1, 0, 1, 1, 1, 1, 0)</t>
  </si>
  <si>
    <t>(1, 0, 0, 1, 0, 1, 1)</t>
  </si>
  <si>
    <t>(0, 1, 0, 1, 0, 0, 0)</t>
  </si>
  <si>
    <t>(0, 1, 0, 1, 1, 1, 1)</t>
  </si>
  <si>
    <t>(1, 1, 0, 0, 1, 0, 1)</t>
  </si>
  <si>
    <t>(1, 0, 1, 1, 1, 1, 1)</t>
  </si>
  <si>
    <t>(0, 0, 0, 1, 0, 1, 0)</t>
  </si>
  <si>
    <t>[0, 1, 0, 0, 0, 1, 0]</t>
  </si>
  <si>
    <t>[0, 1, 0, 1, 0, 0, 0]</t>
  </si>
  <si>
    <t>[1, 1, 0, 0, 1, 0, 1]</t>
  </si>
  <si>
    <t>[1, 1, 0, 0, 1, 1, 0]</t>
  </si>
  <si>
    <t>[1, 1, 0, 0, 1, 1, 1]</t>
  </si>
  <si>
    <t>J=8</t>
  </si>
  <si>
    <t>(0, 0, 1, 0, 1, 1, 1, 0)</t>
  </si>
  <si>
    <t>(0, 0, 1, 1, 0, 0, 0, 1)</t>
  </si>
  <si>
    <t>(0, 0, 1, 0, 1, 1, 0, 0)</t>
  </si>
  <si>
    <t>(0, 0, 0, 1, 0, 0, 1, 1)</t>
  </si>
  <si>
    <t>(1, 1, 1, 0, 1, 1, 1, 0)</t>
  </si>
  <si>
    <t>[0, 0, 1, 0, 1, 1, 0, 0]</t>
  </si>
  <si>
    <t>[0, 0, 1, 1, 0, 0, 0, 1]</t>
  </si>
  <si>
    <t>[0, 1, 1, 1, 0, 0, 0, 1]</t>
  </si>
  <si>
    <t>(0, 0, 1, 1, 0, 0, 0, 0)</t>
  </si>
  <si>
    <t>Problem size</t>
  </si>
  <si>
    <t xml:space="preserve">Instance </t>
  </si>
  <si>
    <t>solution</t>
  </si>
  <si>
    <t>(1, 0, 0, 0, 0, 0)</t>
  </si>
  <si>
    <t>Average</t>
  </si>
  <si>
    <t>Coeffient of Variation (std/mean)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</si>
</sst>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0">
    <xf numFmtId="0" fontId="0" fillId="0" borderId="0" xfId="0"/>
    <xf numFmtId="9" fontId="0" fillId="0" borderId="0" xfId="1" applyFont="1"/>
    <xf numFmtId="164" fontId="0" fillId="0" borderId="0" xfId="0" applyNumberFormat="1"/>
    <xf numFmtId="0" fontId="0" fillId="0" borderId="0" xfId="1" applyNumberFormat="1" applyFont="1"/>
    <xf numFmtId="165" fontId="0" fillId="0" borderId="0" xfId="0" applyNumberFormat="1"/>
    <xf numFmtId="0" fontId="0" fillId="0" borderId="1" xfId="0" applyBorder="1"/>
    <xf numFmtId="0" fontId="0" fillId="0" borderId="2" xfId="0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/>
    <xf numFmtId="9" fontId="0" fillId="0" borderId="5" xfId="1" applyFont="1" applyBorder="1"/>
    <xf numFmtId="1" fontId="0" fillId="0" borderId="5" xfId="0" applyNumberFormat="1" applyBorder="1"/>
    <xf numFmtId="10" fontId="0" fillId="0" borderId="5" xfId="1" applyNumberFormat="1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/>
    <xf numFmtId="9" fontId="0" fillId="0" borderId="8" xfId="1" applyFont="1" applyBorder="1"/>
    <xf numFmtId="1" fontId="0" fillId="0" borderId="8" xfId="0" applyNumberFormat="1" applyBorder="1"/>
    <xf numFmtId="10" fontId="0" fillId="0" borderId="8" xfId="1" applyNumberFormat="1" applyFont="1" applyBorder="1"/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/>
    <xf numFmtId="9" fontId="0" fillId="0" borderId="11" xfId="1" applyFont="1" applyBorder="1"/>
    <xf numFmtId="1" fontId="0" fillId="0" borderId="11" xfId="0" applyNumberFormat="1" applyBorder="1"/>
    <xf numFmtId="10" fontId="0" fillId="0" borderId="11" xfId="1" applyNumberFormat="1" applyFont="1" applyBorder="1"/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3" xfId="0" applyBorder="1" applyAlignment="1">
      <alignment horizontal="left"/>
    </xf>
    <xf numFmtId="10" fontId="0" fillId="0" borderId="14" xfId="1" applyNumberFormat="1" applyFont="1" applyBorder="1" applyAlignment="1"/>
    <xf numFmtId="10" fontId="0" fillId="0" borderId="1" xfId="1" applyNumberFormat="1" applyFont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5"/>
  <sheetViews>
    <sheetView workbookViewId="0">
      <selection activeCell="I9" sqref="I9"/>
    </sheetView>
  </sheetViews>
  <sheetFormatPr defaultRowHeight="14.4" x14ac:dyDescent="0.3"/>
  <cols>
    <col min="3" max="3" width="16.21875" customWidth="1"/>
    <col min="4" max="4" width="18.6640625" customWidth="1"/>
    <col min="6" max="6" width="20.77734375" customWidth="1"/>
    <col min="7" max="7" width="13.44140625" customWidth="1"/>
    <col min="8" max="8" width="15.21875" customWidth="1"/>
    <col min="9" max="9" width="15.33203125" customWidth="1"/>
  </cols>
  <sheetData>
    <row r="1" spans="1:11" x14ac:dyDescent="0.3">
      <c r="A1" t="s">
        <v>0</v>
      </c>
      <c r="B1" t="s">
        <v>1</v>
      </c>
      <c r="H1" t="s">
        <v>2</v>
      </c>
      <c r="I1" t="s">
        <v>3</v>
      </c>
      <c r="J1" t="s">
        <v>4</v>
      </c>
      <c r="K1" t="s">
        <v>5</v>
      </c>
    </row>
    <row r="2" spans="1:11" x14ac:dyDescent="0.3">
      <c r="C2" t="s">
        <v>6</v>
      </c>
      <c r="D2">
        <f>_xlfn.AGGREGATE(5,5,D9:D108)</f>
        <v>30025.9</v>
      </c>
      <c r="H2">
        <v>1</v>
      </c>
      <c r="I2" t="s">
        <v>7</v>
      </c>
      <c r="J2">
        <v>17</v>
      </c>
      <c r="K2" s="1">
        <f>J2/20</f>
        <v>0.85</v>
      </c>
    </row>
    <row r="3" spans="1:11" x14ac:dyDescent="0.3">
      <c r="C3" t="s">
        <v>8</v>
      </c>
      <c r="D3">
        <f>_xlfn.AGGREGATE(4,5,D9:D108)</f>
        <v>73912.2</v>
      </c>
      <c r="H3">
        <v>2</v>
      </c>
      <c r="I3" t="s">
        <v>7</v>
      </c>
      <c r="J3">
        <v>20</v>
      </c>
      <c r="K3" s="1">
        <f t="shared" ref="K3:K6" si="0">J3/20</f>
        <v>1</v>
      </c>
    </row>
    <row r="4" spans="1:11" x14ac:dyDescent="0.3">
      <c r="C4" t="s">
        <v>9</v>
      </c>
      <c r="D4">
        <f>SUBTOTAL(101,D9:D108)</f>
        <v>53900.923999999992</v>
      </c>
      <c r="H4">
        <v>3</v>
      </c>
      <c r="I4" t="s">
        <v>10</v>
      </c>
      <c r="J4">
        <v>20</v>
      </c>
      <c r="K4" s="1">
        <f t="shared" si="0"/>
        <v>1</v>
      </c>
    </row>
    <row r="5" spans="1:11" x14ac:dyDescent="0.3">
      <c r="C5" t="s">
        <v>11</v>
      </c>
      <c r="D5">
        <f>SUBTOTAL(108,D9:D108)</f>
        <v>11994.536671369453</v>
      </c>
      <c r="H5">
        <v>4</v>
      </c>
      <c r="I5" t="s">
        <v>12</v>
      </c>
      <c r="J5">
        <v>19</v>
      </c>
      <c r="K5" s="1">
        <f t="shared" si="0"/>
        <v>0.95</v>
      </c>
    </row>
    <row r="6" spans="1:11" x14ac:dyDescent="0.3">
      <c r="C6" t="s">
        <v>13</v>
      </c>
      <c r="D6">
        <f>SUBTOTAL(108,D9:D108)/SUBTOTAL(101,D9:D108)</f>
        <v>0.22252933310325915</v>
      </c>
      <c r="H6">
        <v>5</v>
      </c>
      <c r="I6" t="s">
        <v>14</v>
      </c>
      <c r="J6">
        <v>20</v>
      </c>
      <c r="K6" s="1">
        <f t="shared" si="0"/>
        <v>1</v>
      </c>
    </row>
    <row r="8" spans="1:11" x14ac:dyDescent="0.3">
      <c r="A8" t="s">
        <v>2</v>
      </c>
      <c r="B8" t="s">
        <v>15</v>
      </c>
      <c r="C8" t="s">
        <v>16</v>
      </c>
      <c r="D8" t="s">
        <v>17</v>
      </c>
    </row>
    <row r="9" spans="1:11" x14ac:dyDescent="0.3">
      <c r="A9">
        <v>1</v>
      </c>
      <c r="B9">
        <v>1</v>
      </c>
      <c r="C9" t="s">
        <v>7</v>
      </c>
      <c r="D9" s="2">
        <v>48369.599999999999</v>
      </c>
    </row>
    <row r="10" spans="1:11" x14ac:dyDescent="0.3">
      <c r="A10">
        <v>1</v>
      </c>
      <c r="B10">
        <v>2</v>
      </c>
      <c r="C10" t="s">
        <v>18</v>
      </c>
      <c r="D10" s="2">
        <v>50844.600000000013</v>
      </c>
    </row>
    <row r="11" spans="1:11" x14ac:dyDescent="0.3">
      <c r="A11">
        <v>1</v>
      </c>
      <c r="B11">
        <v>3</v>
      </c>
      <c r="C11" t="s">
        <v>7</v>
      </c>
      <c r="D11" s="2">
        <v>47460.3</v>
      </c>
    </row>
    <row r="12" spans="1:11" x14ac:dyDescent="0.3">
      <c r="A12">
        <v>1</v>
      </c>
      <c r="B12">
        <v>4</v>
      </c>
      <c r="C12" t="s">
        <v>7</v>
      </c>
      <c r="D12" s="2">
        <v>48042.6</v>
      </c>
    </row>
    <row r="13" spans="1:11" x14ac:dyDescent="0.3">
      <c r="A13">
        <v>1</v>
      </c>
      <c r="B13">
        <v>5</v>
      </c>
      <c r="C13" t="s">
        <v>18</v>
      </c>
      <c r="D13" s="2">
        <v>49310.100000000013</v>
      </c>
    </row>
    <row r="14" spans="1:11" x14ac:dyDescent="0.3">
      <c r="A14">
        <v>1</v>
      </c>
      <c r="B14">
        <v>6</v>
      </c>
      <c r="C14" t="s">
        <v>7</v>
      </c>
      <c r="D14" s="2">
        <v>50684.5</v>
      </c>
    </row>
    <row r="15" spans="1:11" x14ac:dyDescent="0.3">
      <c r="A15">
        <v>1</v>
      </c>
      <c r="B15">
        <v>7</v>
      </c>
      <c r="C15" t="s">
        <v>7</v>
      </c>
      <c r="D15" s="2">
        <v>52296.600000000013</v>
      </c>
    </row>
    <row r="16" spans="1:11" x14ac:dyDescent="0.3">
      <c r="A16">
        <v>1</v>
      </c>
      <c r="B16">
        <v>8</v>
      </c>
      <c r="C16" t="s">
        <v>7</v>
      </c>
      <c r="D16" s="2">
        <v>50684.5</v>
      </c>
    </row>
    <row r="17" spans="1:4" x14ac:dyDescent="0.3">
      <c r="A17">
        <v>1</v>
      </c>
      <c r="B17">
        <v>9</v>
      </c>
      <c r="C17" t="s">
        <v>7</v>
      </c>
      <c r="D17" s="2">
        <v>48760.1</v>
      </c>
    </row>
    <row r="18" spans="1:4" x14ac:dyDescent="0.3">
      <c r="A18">
        <v>1</v>
      </c>
      <c r="B18">
        <v>10</v>
      </c>
      <c r="C18" t="s">
        <v>7</v>
      </c>
      <c r="D18" s="2">
        <v>48817.1</v>
      </c>
    </row>
    <row r="19" spans="1:4" x14ac:dyDescent="0.3">
      <c r="A19">
        <v>1</v>
      </c>
      <c r="B19">
        <v>11</v>
      </c>
      <c r="C19" t="s">
        <v>7</v>
      </c>
      <c r="D19" s="2">
        <v>49555.4</v>
      </c>
    </row>
    <row r="20" spans="1:4" x14ac:dyDescent="0.3">
      <c r="A20">
        <v>1</v>
      </c>
      <c r="B20">
        <v>12</v>
      </c>
      <c r="C20" t="s">
        <v>7</v>
      </c>
      <c r="D20" s="2">
        <v>50897.5</v>
      </c>
    </row>
    <row r="21" spans="1:4" x14ac:dyDescent="0.3">
      <c r="A21">
        <v>1</v>
      </c>
      <c r="B21">
        <v>13</v>
      </c>
      <c r="C21" t="s">
        <v>7</v>
      </c>
      <c r="D21" s="2">
        <v>46175.199999999997</v>
      </c>
    </row>
    <row r="22" spans="1:4" x14ac:dyDescent="0.3">
      <c r="A22">
        <v>1</v>
      </c>
      <c r="B22">
        <v>14</v>
      </c>
      <c r="C22" t="s">
        <v>7</v>
      </c>
      <c r="D22" s="2">
        <v>52999.4</v>
      </c>
    </row>
    <row r="23" spans="1:4" x14ac:dyDescent="0.3">
      <c r="A23">
        <v>1</v>
      </c>
      <c r="B23">
        <v>15</v>
      </c>
      <c r="C23" t="s">
        <v>7</v>
      </c>
      <c r="D23" s="2">
        <v>47943.3</v>
      </c>
    </row>
    <row r="24" spans="1:4" x14ac:dyDescent="0.3">
      <c r="A24">
        <v>1</v>
      </c>
      <c r="B24">
        <v>16</v>
      </c>
      <c r="C24" t="s">
        <v>7</v>
      </c>
      <c r="D24" s="2">
        <v>46175.199999999997</v>
      </c>
    </row>
    <row r="25" spans="1:4" x14ac:dyDescent="0.3">
      <c r="A25">
        <v>1</v>
      </c>
      <c r="B25">
        <v>17</v>
      </c>
      <c r="C25" t="s">
        <v>7</v>
      </c>
      <c r="D25" s="2">
        <v>45394.6</v>
      </c>
    </row>
    <row r="26" spans="1:4" x14ac:dyDescent="0.3">
      <c r="A26">
        <v>1</v>
      </c>
      <c r="B26">
        <v>18</v>
      </c>
      <c r="C26" t="s">
        <v>18</v>
      </c>
      <c r="D26" s="2">
        <v>54169.8</v>
      </c>
    </row>
    <row r="27" spans="1:4" x14ac:dyDescent="0.3">
      <c r="A27">
        <v>1</v>
      </c>
      <c r="B27">
        <v>19</v>
      </c>
      <c r="C27" t="s">
        <v>7</v>
      </c>
      <c r="D27" s="2">
        <v>47943.3</v>
      </c>
    </row>
    <row r="28" spans="1:4" x14ac:dyDescent="0.3">
      <c r="A28">
        <v>1</v>
      </c>
      <c r="B28">
        <v>20</v>
      </c>
      <c r="C28" t="s">
        <v>7</v>
      </c>
      <c r="D28" s="2">
        <v>46835.7</v>
      </c>
    </row>
    <row r="29" spans="1:4" x14ac:dyDescent="0.3">
      <c r="A29">
        <v>2</v>
      </c>
      <c r="B29">
        <v>1</v>
      </c>
      <c r="C29" t="s">
        <v>7</v>
      </c>
      <c r="D29" s="2">
        <v>65402.8</v>
      </c>
    </row>
    <row r="30" spans="1:4" x14ac:dyDescent="0.3">
      <c r="A30">
        <v>2</v>
      </c>
      <c r="B30">
        <v>2</v>
      </c>
      <c r="C30" t="s">
        <v>7</v>
      </c>
      <c r="D30" s="2">
        <v>70545.7</v>
      </c>
    </row>
    <row r="31" spans="1:4" x14ac:dyDescent="0.3">
      <c r="A31">
        <v>2</v>
      </c>
      <c r="B31">
        <v>3</v>
      </c>
      <c r="C31" t="s">
        <v>7</v>
      </c>
      <c r="D31" s="2">
        <v>71486</v>
      </c>
    </row>
    <row r="32" spans="1:4" x14ac:dyDescent="0.3">
      <c r="A32">
        <v>2</v>
      </c>
      <c r="B32">
        <v>4</v>
      </c>
      <c r="C32" t="s">
        <v>7</v>
      </c>
      <c r="D32" s="2">
        <v>68735.600000000006</v>
      </c>
    </row>
    <row r="33" spans="1:4" x14ac:dyDescent="0.3">
      <c r="A33">
        <v>2</v>
      </c>
      <c r="B33">
        <v>5</v>
      </c>
      <c r="C33" t="s">
        <v>7</v>
      </c>
      <c r="D33" s="2">
        <v>68126.8</v>
      </c>
    </row>
    <row r="34" spans="1:4" x14ac:dyDescent="0.3">
      <c r="A34">
        <v>2</v>
      </c>
      <c r="B34">
        <v>6</v>
      </c>
      <c r="C34" t="s">
        <v>7</v>
      </c>
      <c r="D34" s="2">
        <v>71675.8</v>
      </c>
    </row>
    <row r="35" spans="1:4" x14ac:dyDescent="0.3">
      <c r="A35">
        <v>2</v>
      </c>
      <c r="B35">
        <v>7</v>
      </c>
      <c r="C35" t="s">
        <v>7</v>
      </c>
      <c r="D35" s="2">
        <v>64667.9</v>
      </c>
    </row>
    <row r="36" spans="1:4" x14ac:dyDescent="0.3">
      <c r="A36">
        <v>2</v>
      </c>
      <c r="B36">
        <v>8</v>
      </c>
      <c r="C36" t="s">
        <v>7</v>
      </c>
      <c r="D36" s="2">
        <v>67421.899999999994</v>
      </c>
    </row>
    <row r="37" spans="1:4" x14ac:dyDescent="0.3">
      <c r="A37">
        <v>2</v>
      </c>
      <c r="B37">
        <v>9</v>
      </c>
      <c r="C37" t="s">
        <v>7</v>
      </c>
      <c r="D37" s="2">
        <v>68558.2</v>
      </c>
    </row>
    <row r="38" spans="1:4" x14ac:dyDescent="0.3">
      <c r="A38">
        <v>2</v>
      </c>
      <c r="B38">
        <v>10</v>
      </c>
      <c r="C38" t="s">
        <v>7</v>
      </c>
      <c r="D38" s="2">
        <v>64667.9</v>
      </c>
    </row>
    <row r="39" spans="1:4" x14ac:dyDescent="0.3">
      <c r="A39">
        <v>2</v>
      </c>
      <c r="B39">
        <v>11</v>
      </c>
      <c r="C39" t="s">
        <v>7</v>
      </c>
      <c r="D39" s="2">
        <v>73912.2</v>
      </c>
    </row>
    <row r="40" spans="1:4" x14ac:dyDescent="0.3">
      <c r="A40">
        <v>2</v>
      </c>
      <c r="B40">
        <v>12</v>
      </c>
      <c r="C40" t="s">
        <v>7</v>
      </c>
      <c r="D40" s="2">
        <v>65405.4</v>
      </c>
    </row>
    <row r="41" spans="1:4" x14ac:dyDescent="0.3">
      <c r="A41">
        <v>2</v>
      </c>
      <c r="B41">
        <v>13</v>
      </c>
      <c r="C41" t="s">
        <v>7</v>
      </c>
      <c r="D41" s="2">
        <v>64435.6</v>
      </c>
    </row>
    <row r="42" spans="1:4" x14ac:dyDescent="0.3">
      <c r="A42">
        <v>2</v>
      </c>
      <c r="B42">
        <v>14</v>
      </c>
      <c r="C42" t="s">
        <v>7</v>
      </c>
      <c r="D42" s="2">
        <v>67810.899999999994</v>
      </c>
    </row>
    <row r="43" spans="1:4" x14ac:dyDescent="0.3">
      <c r="A43">
        <v>2</v>
      </c>
      <c r="B43">
        <v>15</v>
      </c>
      <c r="C43" t="s">
        <v>7</v>
      </c>
      <c r="D43" s="2">
        <v>66334.3</v>
      </c>
    </row>
    <row r="44" spans="1:4" x14ac:dyDescent="0.3">
      <c r="A44">
        <v>2</v>
      </c>
      <c r="B44">
        <v>16</v>
      </c>
      <c r="C44" t="s">
        <v>7</v>
      </c>
      <c r="D44" s="2">
        <v>67252.800000000003</v>
      </c>
    </row>
    <row r="45" spans="1:4" x14ac:dyDescent="0.3">
      <c r="A45">
        <v>2</v>
      </c>
      <c r="B45">
        <v>17</v>
      </c>
      <c r="C45" t="s">
        <v>7</v>
      </c>
      <c r="D45" s="2">
        <v>66313.100000000006</v>
      </c>
    </row>
    <row r="46" spans="1:4" x14ac:dyDescent="0.3">
      <c r="A46">
        <v>2</v>
      </c>
      <c r="B46">
        <v>18</v>
      </c>
      <c r="C46" t="s">
        <v>7</v>
      </c>
      <c r="D46" s="2">
        <v>71844.399999999994</v>
      </c>
    </row>
    <row r="47" spans="1:4" x14ac:dyDescent="0.3">
      <c r="A47">
        <v>2</v>
      </c>
      <c r="B47">
        <v>19</v>
      </c>
      <c r="C47" t="s">
        <v>7</v>
      </c>
      <c r="D47" s="2">
        <v>63743.199999999997</v>
      </c>
    </row>
    <row r="48" spans="1:4" x14ac:dyDescent="0.3">
      <c r="A48">
        <v>2</v>
      </c>
      <c r="B48">
        <v>20</v>
      </c>
      <c r="C48" t="s">
        <v>7</v>
      </c>
      <c r="D48" s="2">
        <v>66484.2</v>
      </c>
    </row>
    <row r="49" spans="1:4" x14ac:dyDescent="0.3">
      <c r="A49">
        <v>3</v>
      </c>
      <c r="B49">
        <v>1</v>
      </c>
      <c r="C49" t="s">
        <v>10</v>
      </c>
      <c r="D49" s="2">
        <v>48090.2</v>
      </c>
    </row>
    <row r="50" spans="1:4" x14ac:dyDescent="0.3">
      <c r="A50">
        <v>3</v>
      </c>
      <c r="B50">
        <v>2</v>
      </c>
      <c r="C50" t="s">
        <v>10</v>
      </c>
      <c r="D50" s="2">
        <v>59582.2</v>
      </c>
    </row>
    <row r="51" spans="1:4" x14ac:dyDescent="0.3">
      <c r="A51">
        <v>3</v>
      </c>
      <c r="B51">
        <v>3</v>
      </c>
      <c r="C51" t="s">
        <v>10</v>
      </c>
      <c r="D51" s="2">
        <v>53492.800000000003</v>
      </c>
    </row>
    <row r="52" spans="1:4" x14ac:dyDescent="0.3">
      <c r="A52">
        <v>3</v>
      </c>
      <c r="B52">
        <v>4</v>
      </c>
      <c r="C52" t="s">
        <v>10</v>
      </c>
      <c r="D52" s="2">
        <v>61003.4</v>
      </c>
    </row>
    <row r="53" spans="1:4" x14ac:dyDescent="0.3">
      <c r="A53">
        <v>3</v>
      </c>
      <c r="B53">
        <v>5</v>
      </c>
      <c r="C53" t="s">
        <v>10</v>
      </c>
      <c r="D53" s="2">
        <v>58387.4</v>
      </c>
    </row>
    <row r="54" spans="1:4" x14ac:dyDescent="0.3">
      <c r="A54">
        <v>3</v>
      </c>
      <c r="B54">
        <v>6</v>
      </c>
      <c r="C54" t="s">
        <v>10</v>
      </c>
      <c r="D54" s="2">
        <v>49888.5</v>
      </c>
    </row>
    <row r="55" spans="1:4" x14ac:dyDescent="0.3">
      <c r="A55">
        <v>3</v>
      </c>
      <c r="B55">
        <v>7</v>
      </c>
      <c r="C55" t="s">
        <v>10</v>
      </c>
      <c r="D55" s="2">
        <v>55353.5</v>
      </c>
    </row>
    <row r="56" spans="1:4" x14ac:dyDescent="0.3">
      <c r="A56">
        <v>3</v>
      </c>
      <c r="B56">
        <v>8</v>
      </c>
      <c r="C56" t="s">
        <v>10</v>
      </c>
      <c r="D56" s="2">
        <v>48483.3</v>
      </c>
    </row>
    <row r="57" spans="1:4" x14ac:dyDescent="0.3">
      <c r="A57">
        <v>3</v>
      </c>
      <c r="B57">
        <v>9</v>
      </c>
      <c r="C57" t="s">
        <v>10</v>
      </c>
      <c r="D57" s="2">
        <v>52826.1</v>
      </c>
    </row>
    <row r="58" spans="1:4" x14ac:dyDescent="0.3">
      <c r="A58">
        <v>3</v>
      </c>
      <c r="B58">
        <v>10</v>
      </c>
      <c r="C58" t="s">
        <v>10</v>
      </c>
      <c r="D58" s="2">
        <v>58754.1</v>
      </c>
    </row>
    <row r="59" spans="1:4" x14ac:dyDescent="0.3">
      <c r="A59">
        <v>3</v>
      </c>
      <c r="B59">
        <v>11</v>
      </c>
      <c r="C59" t="s">
        <v>10</v>
      </c>
      <c r="D59" s="2">
        <v>54432.3</v>
      </c>
    </row>
    <row r="60" spans="1:4" x14ac:dyDescent="0.3">
      <c r="A60">
        <v>3</v>
      </c>
      <c r="B60">
        <v>12</v>
      </c>
      <c r="C60" t="s">
        <v>10</v>
      </c>
      <c r="D60" s="2">
        <v>56783.9</v>
      </c>
    </row>
    <row r="61" spans="1:4" x14ac:dyDescent="0.3">
      <c r="A61">
        <v>3</v>
      </c>
      <c r="B61">
        <v>13</v>
      </c>
      <c r="C61" t="s">
        <v>10</v>
      </c>
      <c r="D61" s="2">
        <v>54432.3</v>
      </c>
    </row>
    <row r="62" spans="1:4" x14ac:dyDescent="0.3">
      <c r="A62">
        <v>3</v>
      </c>
      <c r="B62">
        <v>14</v>
      </c>
      <c r="C62" t="s">
        <v>10</v>
      </c>
      <c r="D62" s="2">
        <v>52073.5</v>
      </c>
    </row>
    <row r="63" spans="1:4" x14ac:dyDescent="0.3">
      <c r="A63">
        <v>3</v>
      </c>
      <c r="B63">
        <v>15</v>
      </c>
      <c r="C63" t="s">
        <v>10</v>
      </c>
      <c r="D63" s="2">
        <v>55739.4</v>
      </c>
    </row>
    <row r="64" spans="1:4" x14ac:dyDescent="0.3">
      <c r="A64">
        <v>3</v>
      </c>
      <c r="B64">
        <v>16</v>
      </c>
      <c r="C64" t="s">
        <v>10</v>
      </c>
      <c r="D64" s="2">
        <v>56959.7</v>
      </c>
    </row>
    <row r="65" spans="1:4" x14ac:dyDescent="0.3">
      <c r="A65">
        <v>3</v>
      </c>
      <c r="B65">
        <v>17</v>
      </c>
      <c r="C65" t="s">
        <v>10</v>
      </c>
      <c r="D65" s="2">
        <v>57635.5</v>
      </c>
    </row>
    <row r="66" spans="1:4" x14ac:dyDescent="0.3">
      <c r="A66">
        <v>3</v>
      </c>
      <c r="B66">
        <v>18</v>
      </c>
      <c r="C66" t="s">
        <v>10</v>
      </c>
      <c r="D66" s="2">
        <v>51462</v>
      </c>
    </row>
    <row r="67" spans="1:4" x14ac:dyDescent="0.3">
      <c r="A67">
        <v>3</v>
      </c>
      <c r="B67">
        <v>19</v>
      </c>
      <c r="C67" t="s">
        <v>10</v>
      </c>
      <c r="D67" s="2">
        <v>50309.8</v>
      </c>
    </row>
    <row r="68" spans="1:4" x14ac:dyDescent="0.3">
      <c r="A68">
        <v>3</v>
      </c>
      <c r="B68">
        <v>20</v>
      </c>
      <c r="C68" t="s">
        <v>10</v>
      </c>
      <c r="D68" s="2">
        <v>55728.3</v>
      </c>
    </row>
    <row r="69" spans="1:4" x14ac:dyDescent="0.3">
      <c r="A69">
        <v>4</v>
      </c>
      <c r="B69">
        <v>1</v>
      </c>
      <c r="C69" t="s">
        <v>12</v>
      </c>
      <c r="D69" s="2">
        <v>64852.600000000013</v>
      </c>
    </row>
    <row r="70" spans="1:4" x14ac:dyDescent="0.3">
      <c r="A70">
        <v>4</v>
      </c>
      <c r="B70">
        <v>2</v>
      </c>
      <c r="C70" t="s">
        <v>19</v>
      </c>
      <c r="D70" s="2">
        <v>67705.2</v>
      </c>
    </row>
    <row r="71" spans="1:4" x14ac:dyDescent="0.3">
      <c r="A71">
        <v>4</v>
      </c>
      <c r="B71">
        <v>3</v>
      </c>
      <c r="C71" t="s">
        <v>12</v>
      </c>
      <c r="D71" s="2">
        <v>61842.1</v>
      </c>
    </row>
    <row r="72" spans="1:4" x14ac:dyDescent="0.3">
      <c r="A72">
        <v>4</v>
      </c>
      <c r="B72">
        <v>4</v>
      </c>
      <c r="C72" t="s">
        <v>12</v>
      </c>
      <c r="D72" s="2">
        <v>62531.5</v>
      </c>
    </row>
    <row r="73" spans="1:4" x14ac:dyDescent="0.3">
      <c r="A73">
        <v>4</v>
      </c>
      <c r="B73">
        <v>5</v>
      </c>
      <c r="C73" t="s">
        <v>12</v>
      </c>
      <c r="D73" s="2">
        <v>60801.7</v>
      </c>
    </row>
    <row r="74" spans="1:4" x14ac:dyDescent="0.3">
      <c r="A74">
        <v>4</v>
      </c>
      <c r="B74">
        <v>6</v>
      </c>
      <c r="C74" t="s">
        <v>12</v>
      </c>
      <c r="D74" s="2">
        <v>62840.4</v>
      </c>
    </row>
    <row r="75" spans="1:4" x14ac:dyDescent="0.3">
      <c r="A75">
        <v>4</v>
      </c>
      <c r="B75">
        <v>7</v>
      </c>
      <c r="C75" t="s">
        <v>12</v>
      </c>
      <c r="D75" s="2">
        <v>63080.2</v>
      </c>
    </row>
    <row r="76" spans="1:4" x14ac:dyDescent="0.3">
      <c r="A76">
        <v>4</v>
      </c>
      <c r="B76">
        <v>8</v>
      </c>
      <c r="C76" t="s">
        <v>12</v>
      </c>
      <c r="D76" s="2">
        <v>62837.3</v>
      </c>
    </row>
    <row r="77" spans="1:4" x14ac:dyDescent="0.3">
      <c r="A77">
        <v>4</v>
      </c>
      <c r="B77">
        <v>9</v>
      </c>
      <c r="C77" t="s">
        <v>12</v>
      </c>
      <c r="D77" s="2">
        <v>63037.599999999999</v>
      </c>
    </row>
    <row r="78" spans="1:4" x14ac:dyDescent="0.3">
      <c r="A78">
        <v>4</v>
      </c>
      <c r="B78">
        <v>10</v>
      </c>
      <c r="C78" t="s">
        <v>12</v>
      </c>
      <c r="D78" s="2">
        <v>63540</v>
      </c>
    </row>
    <row r="79" spans="1:4" x14ac:dyDescent="0.3">
      <c r="A79">
        <v>4</v>
      </c>
      <c r="B79">
        <v>11</v>
      </c>
      <c r="C79" t="s">
        <v>12</v>
      </c>
      <c r="D79" s="2">
        <v>61464.9</v>
      </c>
    </row>
    <row r="80" spans="1:4" x14ac:dyDescent="0.3">
      <c r="A80">
        <v>4</v>
      </c>
      <c r="B80">
        <v>12</v>
      </c>
      <c r="C80" t="s">
        <v>12</v>
      </c>
      <c r="D80" s="2">
        <v>66993.7</v>
      </c>
    </row>
    <row r="81" spans="1:4" x14ac:dyDescent="0.3">
      <c r="A81">
        <v>4</v>
      </c>
      <c r="B81">
        <v>13</v>
      </c>
      <c r="C81" t="s">
        <v>12</v>
      </c>
      <c r="D81" s="2">
        <v>63986.8</v>
      </c>
    </row>
    <row r="82" spans="1:4" x14ac:dyDescent="0.3">
      <c r="A82">
        <v>4</v>
      </c>
      <c r="B82">
        <v>14</v>
      </c>
      <c r="C82" t="s">
        <v>12</v>
      </c>
      <c r="D82" s="2">
        <v>63457.9</v>
      </c>
    </row>
    <row r="83" spans="1:4" x14ac:dyDescent="0.3">
      <c r="A83">
        <v>4</v>
      </c>
      <c r="B83">
        <v>15</v>
      </c>
      <c r="C83" t="s">
        <v>12</v>
      </c>
      <c r="D83" s="2">
        <v>67065.600000000006</v>
      </c>
    </row>
    <row r="84" spans="1:4" x14ac:dyDescent="0.3">
      <c r="A84">
        <v>4</v>
      </c>
      <c r="B84">
        <v>16</v>
      </c>
      <c r="C84" t="s">
        <v>12</v>
      </c>
      <c r="D84" s="2">
        <v>60830</v>
      </c>
    </row>
    <row r="85" spans="1:4" x14ac:dyDescent="0.3">
      <c r="A85">
        <v>4</v>
      </c>
      <c r="B85">
        <v>17</v>
      </c>
      <c r="C85" t="s">
        <v>12</v>
      </c>
      <c r="D85" s="2">
        <v>67102.8</v>
      </c>
    </row>
    <row r="86" spans="1:4" x14ac:dyDescent="0.3">
      <c r="A86">
        <v>4</v>
      </c>
      <c r="B86">
        <v>18</v>
      </c>
      <c r="C86" t="s">
        <v>12</v>
      </c>
      <c r="D86" s="2">
        <v>63366.2</v>
      </c>
    </row>
    <row r="87" spans="1:4" x14ac:dyDescent="0.3">
      <c r="A87">
        <v>4</v>
      </c>
      <c r="B87">
        <v>19</v>
      </c>
      <c r="C87" t="s">
        <v>12</v>
      </c>
      <c r="D87" s="2">
        <v>61110.600000000013</v>
      </c>
    </row>
    <row r="88" spans="1:4" x14ac:dyDescent="0.3">
      <c r="A88">
        <v>4</v>
      </c>
      <c r="B88">
        <v>20</v>
      </c>
      <c r="C88" t="s">
        <v>12</v>
      </c>
      <c r="D88" s="2">
        <v>62151.5</v>
      </c>
    </row>
    <row r="89" spans="1:4" x14ac:dyDescent="0.3">
      <c r="A89">
        <v>5</v>
      </c>
      <c r="B89">
        <v>1</v>
      </c>
      <c r="C89" t="s">
        <v>14</v>
      </c>
      <c r="D89" s="2">
        <v>34156.1</v>
      </c>
    </row>
    <row r="90" spans="1:4" x14ac:dyDescent="0.3">
      <c r="A90">
        <v>5</v>
      </c>
      <c r="B90">
        <v>2</v>
      </c>
      <c r="C90" t="s">
        <v>14</v>
      </c>
      <c r="D90" s="2">
        <v>33969.699999999997</v>
      </c>
    </row>
    <row r="91" spans="1:4" x14ac:dyDescent="0.3">
      <c r="A91">
        <v>5</v>
      </c>
      <c r="B91">
        <v>3</v>
      </c>
      <c r="C91" t="s">
        <v>14</v>
      </c>
      <c r="D91" s="2">
        <v>36289.199999999997</v>
      </c>
    </row>
    <row r="92" spans="1:4" x14ac:dyDescent="0.3">
      <c r="A92">
        <v>5</v>
      </c>
      <c r="B92">
        <v>4</v>
      </c>
      <c r="C92" t="s">
        <v>14</v>
      </c>
      <c r="D92" s="2">
        <v>33083.599999999999</v>
      </c>
    </row>
    <row r="93" spans="1:4" x14ac:dyDescent="0.3">
      <c r="A93">
        <v>5</v>
      </c>
      <c r="B93">
        <v>5</v>
      </c>
      <c r="C93" t="s">
        <v>14</v>
      </c>
      <c r="D93" s="2">
        <v>32138.9</v>
      </c>
    </row>
    <row r="94" spans="1:4" x14ac:dyDescent="0.3">
      <c r="A94">
        <v>5</v>
      </c>
      <c r="B94">
        <v>6</v>
      </c>
      <c r="C94" t="s">
        <v>14</v>
      </c>
      <c r="D94" s="2">
        <v>34895.800000000003</v>
      </c>
    </row>
    <row r="95" spans="1:4" x14ac:dyDescent="0.3">
      <c r="A95">
        <v>5</v>
      </c>
      <c r="B95">
        <v>7</v>
      </c>
      <c r="C95" t="s">
        <v>14</v>
      </c>
      <c r="D95" s="2">
        <v>34065.1</v>
      </c>
    </row>
    <row r="96" spans="1:4" x14ac:dyDescent="0.3">
      <c r="A96">
        <v>5</v>
      </c>
      <c r="B96">
        <v>8</v>
      </c>
      <c r="C96" t="s">
        <v>14</v>
      </c>
      <c r="D96" s="2">
        <v>36262.6</v>
      </c>
    </row>
    <row r="97" spans="1:4" x14ac:dyDescent="0.3">
      <c r="A97">
        <v>5</v>
      </c>
      <c r="B97">
        <v>9</v>
      </c>
      <c r="C97" t="s">
        <v>14</v>
      </c>
      <c r="D97" s="2">
        <v>30025.9</v>
      </c>
    </row>
    <row r="98" spans="1:4" x14ac:dyDescent="0.3">
      <c r="A98">
        <v>5</v>
      </c>
      <c r="B98">
        <v>10</v>
      </c>
      <c r="C98" t="s">
        <v>14</v>
      </c>
      <c r="D98" s="2">
        <v>32935.699999999997</v>
      </c>
    </row>
    <row r="99" spans="1:4" x14ac:dyDescent="0.3">
      <c r="A99">
        <v>5</v>
      </c>
      <c r="B99">
        <v>11</v>
      </c>
      <c r="C99" t="s">
        <v>14</v>
      </c>
      <c r="D99" s="2">
        <v>37519.599999999999</v>
      </c>
    </row>
    <row r="100" spans="1:4" x14ac:dyDescent="0.3">
      <c r="A100">
        <v>5</v>
      </c>
      <c r="B100">
        <v>12</v>
      </c>
      <c r="C100" t="s">
        <v>14</v>
      </c>
      <c r="D100" s="2">
        <v>36023.1</v>
      </c>
    </row>
    <row r="101" spans="1:4" x14ac:dyDescent="0.3">
      <c r="A101">
        <v>5</v>
      </c>
      <c r="B101">
        <v>13</v>
      </c>
      <c r="C101" t="s">
        <v>14</v>
      </c>
      <c r="D101" s="2">
        <v>31892.9</v>
      </c>
    </row>
    <row r="102" spans="1:4" x14ac:dyDescent="0.3">
      <c r="A102">
        <v>5</v>
      </c>
      <c r="B102">
        <v>14</v>
      </c>
      <c r="C102" t="s">
        <v>14</v>
      </c>
      <c r="D102" s="2">
        <v>34788.9</v>
      </c>
    </row>
    <row r="103" spans="1:4" x14ac:dyDescent="0.3">
      <c r="A103">
        <v>5</v>
      </c>
      <c r="B103">
        <v>15</v>
      </c>
      <c r="C103" t="s">
        <v>14</v>
      </c>
      <c r="D103" s="2">
        <v>33889.599999999999</v>
      </c>
    </row>
    <row r="104" spans="1:4" x14ac:dyDescent="0.3">
      <c r="A104">
        <v>5</v>
      </c>
      <c r="B104">
        <v>16</v>
      </c>
      <c r="C104" t="s">
        <v>14</v>
      </c>
      <c r="D104" s="2">
        <v>38420.400000000001</v>
      </c>
    </row>
    <row r="105" spans="1:4" x14ac:dyDescent="0.3">
      <c r="A105">
        <v>5</v>
      </c>
      <c r="B105">
        <v>17</v>
      </c>
      <c r="C105" t="s">
        <v>14</v>
      </c>
      <c r="D105" s="2">
        <v>38614.5</v>
      </c>
    </row>
    <row r="106" spans="1:4" x14ac:dyDescent="0.3">
      <c r="A106">
        <v>5</v>
      </c>
      <c r="B106">
        <v>18</v>
      </c>
      <c r="C106" t="s">
        <v>14</v>
      </c>
      <c r="D106" s="2">
        <v>31728.3</v>
      </c>
    </row>
    <row r="107" spans="1:4" x14ac:dyDescent="0.3">
      <c r="A107">
        <v>5</v>
      </c>
      <c r="B107">
        <v>19</v>
      </c>
      <c r="C107" t="s">
        <v>14</v>
      </c>
      <c r="D107" s="2">
        <v>33149.9</v>
      </c>
    </row>
    <row r="108" spans="1:4" x14ac:dyDescent="0.3">
      <c r="A108">
        <v>5</v>
      </c>
      <c r="B108">
        <v>20</v>
      </c>
      <c r="C108" t="s">
        <v>14</v>
      </c>
      <c r="D108" s="2">
        <v>36041.699999999997</v>
      </c>
    </row>
    <row r="115" spans="2:3" x14ac:dyDescent="0.3">
      <c r="B115" s="3"/>
      <c r="C115" s="4"/>
    </row>
    <row r="116" spans="2:3" x14ac:dyDescent="0.3">
      <c r="B116" s="3"/>
      <c r="C116" s="4"/>
    </row>
    <row r="117" spans="2:3" x14ac:dyDescent="0.3">
      <c r="B117" s="3"/>
      <c r="C117" s="4"/>
    </row>
    <row r="118" spans="2:3" x14ac:dyDescent="0.3">
      <c r="B118" s="3"/>
      <c r="C118" s="4"/>
    </row>
    <row r="119" spans="2:3" x14ac:dyDescent="0.3">
      <c r="B119" s="3"/>
      <c r="C119" s="4"/>
    </row>
    <row r="120" spans="2:3" x14ac:dyDescent="0.3">
      <c r="B120" s="3"/>
      <c r="C120" s="4"/>
    </row>
    <row r="121" spans="2:3" x14ac:dyDescent="0.3">
      <c r="B121" s="3"/>
      <c r="C121" s="4"/>
    </row>
    <row r="122" spans="2:3" x14ac:dyDescent="0.3">
      <c r="B122" s="3"/>
      <c r="C122" s="4"/>
    </row>
    <row r="123" spans="2:3" x14ac:dyDescent="0.3">
      <c r="B123" s="3"/>
      <c r="C123" s="4"/>
    </row>
    <row r="124" spans="2:3" x14ac:dyDescent="0.3">
      <c r="B124" s="3"/>
      <c r="C124" s="4"/>
    </row>
    <row r="125" spans="2:3" x14ac:dyDescent="0.3">
      <c r="B125" s="3"/>
      <c r="C125" s="4"/>
    </row>
    <row r="126" spans="2:3" x14ac:dyDescent="0.3">
      <c r="B126" s="3"/>
      <c r="C126" s="4"/>
    </row>
    <row r="127" spans="2:3" x14ac:dyDescent="0.3">
      <c r="B127" s="3"/>
      <c r="C127" s="4"/>
    </row>
    <row r="128" spans="2:3" x14ac:dyDescent="0.3">
      <c r="B128" s="3"/>
      <c r="C128" s="4"/>
    </row>
    <row r="129" spans="2:3" x14ac:dyDescent="0.3">
      <c r="B129" s="3"/>
      <c r="C129" s="4"/>
    </row>
    <row r="130" spans="2:3" x14ac:dyDescent="0.3">
      <c r="B130" s="3"/>
      <c r="C130" s="4"/>
    </row>
    <row r="131" spans="2:3" x14ac:dyDescent="0.3">
      <c r="B131" s="3"/>
      <c r="C131" s="4"/>
    </row>
    <row r="132" spans="2:3" x14ac:dyDescent="0.3">
      <c r="B132" s="3"/>
      <c r="C132" s="4"/>
    </row>
    <row r="133" spans="2:3" x14ac:dyDescent="0.3">
      <c r="B133" s="3"/>
      <c r="C133" s="4"/>
    </row>
    <row r="134" spans="2:3" x14ac:dyDescent="0.3">
      <c r="B134" s="3"/>
      <c r="C134" s="4"/>
    </row>
    <row r="135" spans="2:3" x14ac:dyDescent="0.3">
      <c r="C135" s="4"/>
    </row>
  </sheetData>
  <autoFilter ref="A8:D8" xr:uid="{00000000-0001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4F0F0-A6E4-4676-9E83-66CAFF756F84}">
  <dimension ref="A1:N108"/>
  <sheetViews>
    <sheetView workbookViewId="0">
      <selection activeCell="G12" sqref="G12"/>
    </sheetView>
  </sheetViews>
  <sheetFormatPr defaultRowHeight="14.4" x14ac:dyDescent="0.3"/>
  <cols>
    <col min="1" max="1" width="12.21875" customWidth="1"/>
    <col min="2" max="2" width="15.44140625" customWidth="1"/>
    <col min="3" max="3" width="19.21875" customWidth="1"/>
    <col min="4" max="4" width="16" customWidth="1"/>
    <col min="12" max="12" width="17.21875" customWidth="1"/>
  </cols>
  <sheetData>
    <row r="1" spans="1:14" x14ac:dyDescent="0.3">
      <c r="A1" t="s">
        <v>20</v>
      </c>
      <c r="K1" t="s">
        <v>2</v>
      </c>
      <c r="L1" t="s">
        <v>3</v>
      </c>
      <c r="M1" t="s">
        <v>4</v>
      </c>
      <c r="N1" t="s">
        <v>5</v>
      </c>
    </row>
    <row r="2" spans="1:14" x14ac:dyDescent="0.3">
      <c r="B2" t="s">
        <v>6</v>
      </c>
      <c r="C2">
        <f>_xlfn.AGGREGATE(5,5,D9:D108)</f>
        <v>51372.175000000003</v>
      </c>
      <c r="K2">
        <v>1</v>
      </c>
      <c r="L2" t="s">
        <v>21</v>
      </c>
      <c r="M2">
        <v>20</v>
      </c>
      <c r="N2" s="1">
        <f>M2/20</f>
        <v>1</v>
      </c>
    </row>
    <row r="3" spans="1:14" x14ac:dyDescent="0.3">
      <c r="B3" t="s">
        <v>8</v>
      </c>
      <c r="C3">
        <f>_xlfn.AGGREGATE(4,5,D9:D108)</f>
        <v>97986.2</v>
      </c>
      <c r="K3">
        <v>2</v>
      </c>
      <c r="L3" t="s">
        <v>22</v>
      </c>
      <c r="M3">
        <v>20</v>
      </c>
      <c r="N3" s="1">
        <f t="shared" ref="N3:N6" si="0">M3/20</f>
        <v>1</v>
      </c>
    </row>
    <row r="4" spans="1:14" x14ac:dyDescent="0.3">
      <c r="B4" t="s">
        <v>9</v>
      </c>
      <c r="C4">
        <f>SUBTOTAL(101,D9:D108)</f>
        <v>74017.994749999983</v>
      </c>
      <c r="K4">
        <v>3</v>
      </c>
      <c r="L4" t="s">
        <v>23</v>
      </c>
      <c r="M4">
        <v>20</v>
      </c>
      <c r="N4" s="1">
        <f t="shared" si="0"/>
        <v>1</v>
      </c>
    </row>
    <row r="5" spans="1:14" x14ac:dyDescent="0.3">
      <c r="B5" t="s">
        <v>11</v>
      </c>
      <c r="C5">
        <f>SUBTOTAL(108,D9:D108)</f>
        <v>14087.716036001204</v>
      </c>
      <c r="K5">
        <v>4</v>
      </c>
      <c r="L5" t="s">
        <v>24</v>
      </c>
      <c r="M5">
        <v>15</v>
      </c>
      <c r="N5" s="1">
        <f t="shared" si="0"/>
        <v>0.75</v>
      </c>
    </row>
    <row r="6" spans="1:14" x14ac:dyDescent="0.3">
      <c r="B6" t="s">
        <v>13</v>
      </c>
      <c r="C6">
        <f>SUBTOTAL(108,D9:D108)/SUBTOTAL(101,D9:D108)</f>
        <v>0.19032825846719129</v>
      </c>
      <c r="K6">
        <v>5</v>
      </c>
      <c r="L6" t="s">
        <v>25</v>
      </c>
      <c r="M6">
        <v>20</v>
      </c>
      <c r="N6" s="1">
        <f t="shared" si="0"/>
        <v>1</v>
      </c>
    </row>
    <row r="8" spans="1:14" x14ac:dyDescent="0.3">
      <c r="A8" t="s">
        <v>2</v>
      </c>
      <c r="B8" t="s">
        <v>15</v>
      </c>
      <c r="C8" t="s">
        <v>16</v>
      </c>
      <c r="D8" t="s">
        <v>17</v>
      </c>
    </row>
    <row r="9" spans="1:14" x14ac:dyDescent="0.3">
      <c r="A9">
        <v>1</v>
      </c>
      <c r="B9">
        <v>1</v>
      </c>
      <c r="C9" t="s">
        <v>21</v>
      </c>
      <c r="D9">
        <v>78592.600000000006</v>
      </c>
    </row>
    <row r="10" spans="1:14" x14ac:dyDescent="0.3">
      <c r="A10">
        <v>1</v>
      </c>
      <c r="B10">
        <v>2</v>
      </c>
      <c r="C10" t="s">
        <v>21</v>
      </c>
      <c r="D10">
        <v>80179.900000000009</v>
      </c>
    </row>
    <row r="11" spans="1:14" x14ac:dyDescent="0.3">
      <c r="A11">
        <v>1</v>
      </c>
      <c r="B11">
        <v>3</v>
      </c>
      <c r="C11" t="s">
        <v>21</v>
      </c>
      <c r="D11">
        <v>75684.55</v>
      </c>
    </row>
    <row r="12" spans="1:14" x14ac:dyDescent="0.3">
      <c r="A12">
        <v>1</v>
      </c>
      <c r="B12">
        <v>4</v>
      </c>
      <c r="C12" t="s">
        <v>21</v>
      </c>
      <c r="D12">
        <v>80275.425000000003</v>
      </c>
    </row>
    <row r="13" spans="1:14" x14ac:dyDescent="0.3">
      <c r="A13">
        <v>1</v>
      </c>
      <c r="B13">
        <v>5</v>
      </c>
      <c r="C13" t="s">
        <v>21</v>
      </c>
      <c r="D13">
        <v>80938.725000000006</v>
      </c>
    </row>
    <row r="14" spans="1:14" x14ac:dyDescent="0.3">
      <c r="A14">
        <v>1</v>
      </c>
      <c r="B14">
        <v>6</v>
      </c>
      <c r="C14" t="s">
        <v>21</v>
      </c>
      <c r="D14">
        <v>84463.15</v>
      </c>
    </row>
    <row r="15" spans="1:14" x14ac:dyDescent="0.3">
      <c r="A15">
        <v>1</v>
      </c>
      <c r="B15">
        <v>7</v>
      </c>
      <c r="C15" t="s">
        <v>21</v>
      </c>
      <c r="D15">
        <v>83004.100000000006</v>
      </c>
    </row>
    <row r="16" spans="1:14" x14ac:dyDescent="0.3">
      <c r="A16">
        <v>1</v>
      </c>
      <c r="B16">
        <v>8</v>
      </c>
      <c r="C16" t="s">
        <v>21</v>
      </c>
      <c r="D16">
        <v>78815.375</v>
      </c>
    </row>
    <row r="17" spans="1:4" x14ac:dyDescent="0.3">
      <c r="A17">
        <v>1</v>
      </c>
      <c r="B17">
        <v>9</v>
      </c>
      <c r="C17" t="s">
        <v>21</v>
      </c>
      <c r="D17">
        <v>81620.375</v>
      </c>
    </row>
    <row r="18" spans="1:4" x14ac:dyDescent="0.3">
      <c r="A18">
        <v>1</v>
      </c>
      <c r="B18">
        <v>10</v>
      </c>
      <c r="C18" t="s">
        <v>21</v>
      </c>
      <c r="D18">
        <v>82077.725000000006</v>
      </c>
    </row>
    <row r="19" spans="1:4" x14ac:dyDescent="0.3">
      <c r="A19">
        <v>1</v>
      </c>
      <c r="B19">
        <v>11</v>
      </c>
      <c r="C19" t="s">
        <v>21</v>
      </c>
      <c r="D19">
        <v>80153.225000000006</v>
      </c>
    </row>
    <row r="20" spans="1:4" x14ac:dyDescent="0.3">
      <c r="A20">
        <v>1</v>
      </c>
      <c r="B20">
        <v>12</v>
      </c>
      <c r="C20" t="s">
        <v>21</v>
      </c>
      <c r="D20">
        <v>78870.475000000006</v>
      </c>
    </row>
    <row r="21" spans="1:4" x14ac:dyDescent="0.3">
      <c r="A21">
        <v>1</v>
      </c>
      <c r="B21">
        <v>13</v>
      </c>
      <c r="C21" t="s">
        <v>21</v>
      </c>
      <c r="D21">
        <v>84278.324999999997</v>
      </c>
    </row>
    <row r="22" spans="1:4" x14ac:dyDescent="0.3">
      <c r="A22">
        <v>1</v>
      </c>
      <c r="B22">
        <v>14</v>
      </c>
      <c r="C22" t="s">
        <v>21</v>
      </c>
      <c r="D22">
        <v>84283.975000000006</v>
      </c>
    </row>
    <row r="23" spans="1:4" x14ac:dyDescent="0.3">
      <c r="A23">
        <v>1</v>
      </c>
      <c r="B23">
        <v>15</v>
      </c>
      <c r="C23" t="s">
        <v>21</v>
      </c>
      <c r="D23">
        <v>84682.725000000006</v>
      </c>
    </row>
    <row r="24" spans="1:4" x14ac:dyDescent="0.3">
      <c r="A24">
        <v>1</v>
      </c>
      <c r="B24">
        <v>16</v>
      </c>
      <c r="C24" t="s">
        <v>21</v>
      </c>
      <c r="D24">
        <v>80673.600000000006</v>
      </c>
    </row>
    <row r="25" spans="1:4" x14ac:dyDescent="0.3">
      <c r="A25">
        <v>1</v>
      </c>
      <c r="B25">
        <v>17</v>
      </c>
      <c r="C25" t="s">
        <v>21</v>
      </c>
      <c r="D25">
        <v>81801.125</v>
      </c>
    </row>
    <row r="26" spans="1:4" x14ac:dyDescent="0.3">
      <c r="A26">
        <v>1</v>
      </c>
      <c r="B26">
        <v>18</v>
      </c>
      <c r="C26" t="s">
        <v>21</v>
      </c>
      <c r="D26">
        <v>79917.7</v>
      </c>
    </row>
    <row r="27" spans="1:4" x14ac:dyDescent="0.3">
      <c r="A27">
        <v>1</v>
      </c>
      <c r="B27">
        <v>19</v>
      </c>
      <c r="C27" t="s">
        <v>21</v>
      </c>
      <c r="D27">
        <v>80630.975000000006</v>
      </c>
    </row>
    <row r="28" spans="1:4" x14ac:dyDescent="0.3">
      <c r="A28">
        <v>1</v>
      </c>
      <c r="B28">
        <v>20</v>
      </c>
      <c r="C28" t="s">
        <v>21</v>
      </c>
      <c r="D28">
        <v>80894.149999999994</v>
      </c>
    </row>
    <row r="29" spans="1:4" x14ac:dyDescent="0.3">
      <c r="A29">
        <v>2</v>
      </c>
      <c r="B29">
        <v>1</v>
      </c>
      <c r="C29" t="s">
        <v>22</v>
      </c>
      <c r="D29">
        <v>71355.600000000006</v>
      </c>
    </row>
    <row r="30" spans="1:4" x14ac:dyDescent="0.3">
      <c r="A30">
        <v>2</v>
      </c>
      <c r="B30">
        <v>2</v>
      </c>
      <c r="C30" t="s">
        <v>22</v>
      </c>
      <c r="D30">
        <v>74978.850000000006</v>
      </c>
    </row>
    <row r="31" spans="1:4" x14ac:dyDescent="0.3">
      <c r="A31">
        <v>2</v>
      </c>
      <c r="B31">
        <v>3</v>
      </c>
      <c r="C31" t="s">
        <v>22</v>
      </c>
      <c r="D31">
        <v>76990.175000000003</v>
      </c>
    </row>
    <row r="32" spans="1:4" x14ac:dyDescent="0.3">
      <c r="A32">
        <v>2</v>
      </c>
      <c r="B32">
        <v>4</v>
      </c>
      <c r="C32" t="s">
        <v>22</v>
      </c>
      <c r="D32">
        <v>70480</v>
      </c>
    </row>
    <row r="33" spans="1:4" x14ac:dyDescent="0.3">
      <c r="A33">
        <v>2</v>
      </c>
      <c r="B33">
        <v>5</v>
      </c>
      <c r="C33" t="s">
        <v>22</v>
      </c>
      <c r="D33">
        <v>72481.75</v>
      </c>
    </row>
    <row r="34" spans="1:4" x14ac:dyDescent="0.3">
      <c r="A34">
        <v>2</v>
      </c>
      <c r="B34">
        <v>6</v>
      </c>
      <c r="C34" t="s">
        <v>22</v>
      </c>
      <c r="D34">
        <v>75026.5</v>
      </c>
    </row>
    <row r="35" spans="1:4" x14ac:dyDescent="0.3">
      <c r="A35">
        <v>2</v>
      </c>
      <c r="B35">
        <v>7</v>
      </c>
      <c r="C35" t="s">
        <v>22</v>
      </c>
      <c r="D35">
        <v>71771.125</v>
      </c>
    </row>
    <row r="36" spans="1:4" x14ac:dyDescent="0.3">
      <c r="A36">
        <v>2</v>
      </c>
      <c r="B36">
        <v>8</v>
      </c>
      <c r="C36" t="s">
        <v>22</v>
      </c>
      <c r="D36">
        <v>72554.675000000003</v>
      </c>
    </row>
    <row r="37" spans="1:4" x14ac:dyDescent="0.3">
      <c r="A37">
        <v>2</v>
      </c>
      <c r="B37">
        <v>9</v>
      </c>
      <c r="C37" t="s">
        <v>22</v>
      </c>
      <c r="D37">
        <v>71765.05</v>
      </c>
    </row>
    <row r="38" spans="1:4" x14ac:dyDescent="0.3">
      <c r="A38">
        <v>2</v>
      </c>
      <c r="B38">
        <v>10</v>
      </c>
      <c r="C38" t="s">
        <v>22</v>
      </c>
      <c r="D38">
        <v>72135.274999999994</v>
      </c>
    </row>
    <row r="39" spans="1:4" x14ac:dyDescent="0.3">
      <c r="A39">
        <v>2</v>
      </c>
      <c r="B39">
        <v>11</v>
      </c>
      <c r="C39" t="s">
        <v>22</v>
      </c>
      <c r="D39">
        <v>73215.425000000003</v>
      </c>
    </row>
    <row r="40" spans="1:4" x14ac:dyDescent="0.3">
      <c r="A40">
        <v>2</v>
      </c>
      <c r="B40">
        <v>12</v>
      </c>
      <c r="C40" t="s">
        <v>22</v>
      </c>
      <c r="D40">
        <v>73199.399999999994</v>
      </c>
    </row>
    <row r="41" spans="1:4" x14ac:dyDescent="0.3">
      <c r="A41">
        <v>2</v>
      </c>
      <c r="B41">
        <v>13</v>
      </c>
      <c r="C41" t="s">
        <v>22</v>
      </c>
      <c r="D41">
        <v>74140.55</v>
      </c>
    </row>
    <row r="42" spans="1:4" x14ac:dyDescent="0.3">
      <c r="A42">
        <v>2</v>
      </c>
      <c r="B42">
        <v>14</v>
      </c>
      <c r="C42" t="s">
        <v>22</v>
      </c>
      <c r="D42">
        <v>72202.149999999994</v>
      </c>
    </row>
    <row r="43" spans="1:4" x14ac:dyDescent="0.3">
      <c r="A43">
        <v>2</v>
      </c>
      <c r="B43">
        <v>15</v>
      </c>
      <c r="C43" t="s">
        <v>22</v>
      </c>
      <c r="D43">
        <v>73211.074999999997</v>
      </c>
    </row>
    <row r="44" spans="1:4" x14ac:dyDescent="0.3">
      <c r="A44">
        <v>2</v>
      </c>
      <c r="B44">
        <v>16</v>
      </c>
      <c r="C44" t="s">
        <v>22</v>
      </c>
      <c r="D44">
        <v>72804.800000000003</v>
      </c>
    </row>
    <row r="45" spans="1:4" x14ac:dyDescent="0.3">
      <c r="A45">
        <v>2</v>
      </c>
      <c r="B45">
        <v>17</v>
      </c>
      <c r="C45" t="s">
        <v>22</v>
      </c>
      <c r="D45">
        <v>72221.324999999997</v>
      </c>
    </row>
    <row r="46" spans="1:4" x14ac:dyDescent="0.3">
      <c r="A46">
        <v>2</v>
      </c>
      <c r="B46">
        <v>18</v>
      </c>
      <c r="C46" t="s">
        <v>22</v>
      </c>
      <c r="D46">
        <v>69815.375</v>
      </c>
    </row>
    <row r="47" spans="1:4" x14ac:dyDescent="0.3">
      <c r="A47">
        <v>2</v>
      </c>
      <c r="B47">
        <v>19</v>
      </c>
      <c r="C47" t="s">
        <v>22</v>
      </c>
      <c r="D47">
        <v>72773.725000000006</v>
      </c>
    </row>
    <row r="48" spans="1:4" x14ac:dyDescent="0.3">
      <c r="A48">
        <v>2</v>
      </c>
      <c r="B48">
        <v>20</v>
      </c>
      <c r="C48" t="s">
        <v>22</v>
      </c>
      <c r="D48">
        <v>71880.350000000006</v>
      </c>
    </row>
    <row r="49" spans="1:4" x14ac:dyDescent="0.3">
      <c r="A49">
        <v>3</v>
      </c>
      <c r="B49">
        <v>1</v>
      </c>
      <c r="C49" t="s">
        <v>23</v>
      </c>
      <c r="D49">
        <v>54649.45</v>
      </c>
    </row>
    <row r="50" spans="1:4" x14ac:dyDescent="0.3">
      <c r="A50">
        <v>3</v>
      </c>
      <c r="B50">
        <v>2</v>
      </c>
      <c r="C50" t="s">
        <v>23</v>
      </c>
      <c r="D50">
        <v>51372.175000000003</v>
      </c>
    </row>
    <row r="51" spans="1:4" x14ac:dyDescent="0.3">
      <c r="A51">
        <v>3</v>
      </c>
      <c r="B51">
        <v>3</v>
      </c>
      <c r="C51" t="s">
        <v>23</v>
      </c>
      <c r="D51">
        <v>57938.7</v>
      </c>
    </row>
    <row r="52" spans="1:4" x14ac:dyDescent="0.3">
      <c r="A52">
        <v>3</v>
      </c>
      <c r="B52">
        <v>4</v>
      </c>
      <c r="C52" t="s">
        <v>23</v>
      </c>
      <c r="D52">
        <v>54849.074999999997</v>
      </c>
    </row>
    <row r="53" spans="1:4" x14ac:dyDescent="0.3">
      <c r="A53">
        <v>3</v>
      </c>
      <c r="B53">
        <v>5</v>
      </c>
      <c r="C53" t="s">
        <v>23</v>
      </c>
      <c r="D53">
        <v>53515.474999999999</v>
      </c>
    </row>
    <row r="54" spans="1:4" x14ac:dyDescent="0.3">
      <c r="A54">
        <v>3</v>
      </c>
      <c r="B54">
        <v>6</v>
      </c>
      <c r="C54" t="s">
        <v>23</v>
      </c>
      <c r="D54">
        <v>53531.724999999999</v>
      </c>
    </row>
    <row r="55" spans="1:4" x14ac:dyDescent="0.3">
      <c r="A55">
        <v>3</v>
      </c>
      <c r="B55">
        <v>7</v>
      </c>
      <c r="C55" t="s">
        <v>23</v>
      </c>
      <c r="D55">
        <v>52718.974999999999</v>
      </c>
    </row>
    <row r="56" spans="1:4" x14ac:dyDescent="0.3">
      <c r="A56">
        <v>3</v>
      </c>
      <c r="B56">
        <v>8</v>
      </c>
      <c r="C56" t="s">
        <v>23</v>
      </c>
      <c r="D56">
        <v>53929.3</v>
      </c>
    </row>
    <row r="57" spans="1:4" x14ac:dyDescent="0.3">
      <c r="A57">
        <v>3</v>
      </c>
      <c r="B57">
        <v>9</v>
      </c>
      <c r="C57" t="s">
        <v>23</v>
      </c>
      <c r="D57">
        <v>53225.8</v>
      </c>
    </row>
    <row r="58" spans="1:4" x14ac:dyDescent="0.3">
      <c r="A58">
        <v>3</v>
      </c>
      <c r="B58">
        <v>10</v>
      </c>
      <c r="C58" t="s">
        <v>23</v>
      </c>
      <c r="D58">
        <v>54035</v>
      </c>
    </row>
    <row r="59" spans="1:4" x14ac:dyDescent="0.3">
      <c r="A59">
        <v>3</v>
      </c>
      <c r="B59">
        <v>11</v>
      </c>
      <c r="C59" t="s">
        <v>23</v>
      </c>
      <c r="D59">
        <v>57366.824999999997</v>
      </c>
    </row>
    <row r="60" spans="1:4" x14ac:dyDescent="0.3">
      <c r="A60">
        <v>3</v>
      </c>
      <c r="B60">
        <v>12</v>
      </c>
      <c r="C60" t="s">
        <v>23</v>
      </c>
      <c r="D60">
        <v>59275.65</v>
      </c>
    </row>
    <row r="61" spans="1:4" x14ac:dyDescent="0.3">
      <c r="A61">
        <v>3</v>
      </c>
      <c r="B61">
        <v>13</v>
      </c>
      <c r="C61" t="s">
        <v>23</v>
      </c>
      <c r="D61">
        <v>53554.3</v>
      </c>
    </row>
    <row r="62" spans="1:4" x14ac:dyDescent="0.3">
      <c r="A62">
        <v>3</v>
      </c>
      <c r="B62">
        <v>14</v>
      </c>
      <c r="C62" t="s">
        <v>23</v>
      </c>
      <c r="D62">
        <v>58429.224999999999</v>
      </c>
    </row>
    <row r="63" spans="1:4" x14ac:dyDescent="0.3">
      <c r="A63">
        <v>3</v>
      </c>
      <c r="B63">
        <v>15</v>
      </c>
      <c r="C63" t="s">
        <v>23</v>
      </c>
      <c r="D63">
        <v>56465.4</v>
      </c>
    </row>
    <row r="64" spans="1:4" x14ac:dyDescent="0.3">
      <c r="A64">
        <v>3</v>
      </c>
      <c r="B64">
        <v>16</v>
      </c>
      <c r="C64" t="s">
        <v>23</v>
      </c>
      <c r="D64">
        <v>53356.1</v>
      </c>
    </row>
    <row r="65" spans="1:4" x14ac:dyDescent="0.3">
      <c r="A65">
        <v>3</v>
      </c>
      <c r="B65">
        <v>17</v>
      </c>
      <c r="C65" t="s">
        <v>23</v>
      </c>
      <c r="D65">
        <v>54172.724999999999</v>
      </c>
    </row>
    <row r="66" spans="1:4" x14ac:dyDescent="0.3">
      <c r="A66">
        <v>3</v>
      </c>
      <c r="B66">
        <v>18</v>
      </c>
      <c r="C66" t="s">
        <v>23</v>
      </c>
      <c r="D66">
        <v>60067.3</v>
      </c>
    </row>
    <row r="67" spans="1:4" x14ac:dyDescent="0.3">
      <c r="A67">
        <v>3</v>
      </c>
      <c r="B67">
        <v>19</v>
      </c>
      <c r="C67" t="s">
        <v>23</v>
      </c>
      <c r="D67">
        <v>54111.375</v>
      </c>
    </row>
    <row r="68" spans="1:4" x14ac:dyDescent="0.3">
      <c r="A68">
        <v>3</v>
      </c>
      <c r="B68">
        <v>20</v>
      </c>
      <c r="C68" t="s">
        <v>23</v>
      </c>
      <c r="D68">
        <v>54876.425000000003</v>
      </c>
    </row>
    <row r="69" spans="1:4" x14ac:dyDescent="0.3">
      <c r="A69">
        <v>4</v>
      </c>
      <c r="B69">
        <v>1</v>
      </c>
      <c r="C69" t="s">
        <v>24</v>
      </c>
      <c r="D69">
        <v>97085.725000000006</v>
      </c>
    </row>
    <row r="70" spans="1:4" x14ac:dyDescent="0.3">
      <c r="A70">
        <v>4</v>
      </c>
      <c r="B70">
        <v>2</v>
      </c>
      <c r="C70" t="s">
        <v>26</v>
      </c>
      <c r="D70">
        <v>97231.175000000003</v>
      </c>
    </row>
    <row r="71" spans="1:4" x14ac:dyDescent="0.3">
      <c r="A71">
        <v>4</v>
      </c>
      <c r="B71">
        <v>3</v>
      </c>
      <c r="C71" t="s">
        <v>26</v>
      </c>
      <c r="D71">
        <v>96772.95</v>
      </c>
    </row>
    <row r="72" spans="1:4" x14ac:dyDescent="0.3">
      <c r="A72">
        <v>4</v>
      </c>
      <c r="B72">
        <v>4</v>
      </c>
      <c r="C72" t="s">
        <v>24</v>
      </c>
      <c r="D72">
        <v>97222.375</v>
      </c>
    </row>
    <row r="73" spans="1:4" x14ac:dyDescent="0.3">
      <c r="A73">
        <v>4</v>
      </c>
      <c r="B73">
        <v>5</v>
      </c>
      <c r="C73" t="s">
        <v>24</v>
      </c>
      <c r="D73">
        <v>97875.6</v>
      </c>
    </row>
    <row r="74" spans="1:4" x14ac:dyDescent="0.3">
      <c r="A74">
        <v>4</v>
      </c>
      <c r="B74">
        <v>6</v>
      </c>
      <c r="C74" t="s">
        <v>24</v>
      </c>
      <c r="D74">
        <v>96004.6</v>
      </c>
    </row>
    <row r="75" spans="1:4" x14ac:dyDescent="0.3">
      <c r="A75">
        <v>4</v>
      </c>
      <c r="B75">
        <v>7</v>
      </c>
      <c r="C75" t="s">
        <v>27</v>
      </c>
      <c r="D75">
        <v>97413.375</v>
      </c>
    </row>
    <row r="76" spans="1:4" x14ac:dyDescent="0.3">
      <c r="A76">
        <v>4</v>
      </c>
      <c r="B76">
        <v>8</v>
      </c>
      <c r="C76" t="s">
        <v>24</v>
      </c>
      <c r="D76">
        <v>95008.85</v>
      </c>
    </row>
    <row r="77" spans="1:4" x14ac:dyDescent="0.3">
      <c r="A77">
        <v>4</v>
      </c>
      <c r="B77">
        <v>9</v>
      </c>
      <c r="C77" t="s">
        <v>24</v>
      </c>
      <c r="D77">
        <v>94458.125</v>
      </c>
    </row>
    <row r="78" spans="1:4" x14ac:dyDescent="0.3">
      <c r="A78">
        <v>4</v>
      </c>
      <c r="B78">
        <v>10</v>
      </c>
      <c r="C78" t="s">
        <v>24</v>
      </c>
      <c r="D78">
        <v>93711.024999999994</v>
      </c>
    </row>
    <row r="79" spans="1:4" x14ac:dyDescent="0.3">
      <c r="A79">
        <v>4</v>
      </c>
      <c r="B79">
        <v>11</v>
      </c>
      <c r="C79" t="s">
        <v>24</v>
      </c>
      <c r="D79">
        <v>97986.2</v>
      </c>
    </row>
    <row r="80" spans="1:4" x14ac:dyDescent="0.3">
      <c r="A80">
        <v>4</v>
      </c>
      <c r="B80">
        <v>12</v>
      </c>
      <c r="C80" t="s">
        <v>24</v>
      </c>
      <c r="D80">
        <v>94282</v>
      </c>
    </row>
    <row r="81" spans="1:4" x14ac:dyDescent="0.3">
      <c r="A81">
        <v>4</v>
      </c>
      <c r="B81">
        <v>13</v>
      </c>
      <c r="C81" t="s">
        <v>24</v>
      </c>
      <c r="D81">
        <v>97416.574999999997</v>
      </c>
    </row>
    <row r="82" spans="1:4" x14ac:dyDescent="0.3">
      <c r="A82">
        <v>4</v>
      </c>
      <c r="B82">
        <v>14</v>
      </c>
      <c r="C82" t="s">
        <v>24</v>
      </c>
      <c r="D82">
        <v>96562.524999999994</v>
      </c>
    </row>
    <row r="83" spans="1:4" x14ac:dyDescent="0.3">
      <c r="A83">
        <v>4</v>
      </c>
      <c r="B83">
        <v>15</v>
      </c>
      <c r="C83" t="s">
        <v>24</v>
      </c>
      <c r="D83">
        <v>97858.1</v>
      </c>
    </row>
    <row r="84" spans="1:4" x14ac:dyDescent="0.3">
      <c r="A84">
        <v>4</v>
      </c>
      <c r="B84">
        <v>16</v>
      </c>
      <c r="C84" t="s">
        <v>24</v>
      </c>
      <c r="D84">
        <v>96340.725000000006</v>
      </c>
    </row>
    <row r="85" spans="1:4" x14ac:dyDescent="0.3">
      <c r="A85">
        <v>4</v>
      </c>
      <c r="B85">
        <v>17</v>
      </c>
      <c r="C85" t="s">
        <v>26</v>
      </c>
      <c r="D85">
        <v>95343.274999999994</v>
      </c>
    </row>
    <row r="86" spans="1:4" x14ac:dyDescent="0.3">
      <c r="A86">
        <v>4</v>
      </c>
      <c r="B86">
        <v>18</v>
      </c>
      <c r="C86" t="s">
        <v>24</v>
      </c>
      <c r="D86">
        <v>95851.4</v>
      </c>
    </row>
    <row r="87" spans="1:4" x14ac:dyDescent="0.3">
      <c r="A87">
        <v>4</v>
      </c>
      <c r="B87">
        <v>19</v>
      </c>
      <c r="C87" t="s">
        <v>24</v>
      </c>
      <c r="D87">
        <v>90964.9</v>
      </c>
    </row>
    <row r="88" spans="1:4" x14ac:dyDescent="0.3">
      <c r="A88">
        <v>4</v>
      </c>
      <c r="B88">
        <v>20</v>
      </c>
      <c r="C88" t="s">
        <v>26</v>
      </c>
      <c r="D88">
        <v>95395.3</v>
      </c>
    </row>
    <row r="89" spans="1:4" x14ac:dyDescent="0.3">
      <c r="A89">
        <v>5</v>
      </c>
      <c r="B89">
        <v>1</v>
      </c>
      <c r="C89" t="s">
        <v>25</v>
      </c>
      <c r="D89">
        <v>65811.649999999994</v>
      </c>
    </row>
    <row r="90" spans="1:4" x14ac:dyDescent="0.3">
      <c r="A90">
        <v>5</v>
      </c>
      <c r="B90">
        <v>2</v>
      </c>
      <c r="C90" t="s">
        <v>25</v>
      </c>
      <c r="D90">
        <v>67965.05</v>
      </c>
    </row>
    <row r="91" spans="1:4" x14ac:dyDescent="0.3">
      <c r="A91">
        <v>5</v>
      </c>
      <c r="B91">
        <v>3</v>
      </c>
      <c r="C91" t="s">
        <v>25</v>
      </c>
      <c r="D91">
        <v>67418.55</v>
      </c>
    </row>
    <row r="92" spans="1:4" x14ac:dyDescent="0.3">
      <c r="A92">
        <v>5</v>
      </c>
      <c r="B92">
        <v>4</v>
      </c>
      <c r="C92" t="s">
        <v>25</v>
      </c>
      <c r="D92">
        <v>63276.425000000003</v>
      </c>
    </row>
    <row r="93" spans="1:4" x14ac:dyDescent="0.3">
      <c r="A93">
        <v>5</v>
      </c>
      <c r="B93">
        <v>5</v>
      </c>
      <c r="C93" t="s">
        <v>25</v>
      </c>
      <c r="D93">
        <v>63868.55</v>
      </c>
    </row>
    <row r="94" spans="1:4" x14ac:dyDescent="0.3">
      <c r="A94">
        <v>5</v>
      </c>
      <c r="B94">
        <v>6</v>
      </c>
      <c r="C94" t="s">
        <v>25</v>
      </c>
      <c r="D94">
        <v>64992.974999999999</v>
      </c>
    </row>
    <row r="95" spans="1:4" x14ac:dyDescent="0.3">
      <c r="A95">
        <v>5</v>
      </c>
      <c r="B95">
        <v>7</v>
      </c>
      <c r="C95" t="s">
        <v>25</v>
      </c>
      <c r="D95">
        <v>66454</v>
      </c>
    </row>
    <row r="96" spans="1:4" x14ac:dyDescent="0.3">
      <c r="A96">
        <v>5</v>
      </c>
      <c r="B96">
        <v>8</v>
      </c>
      <c r="C96" t="s">
        <v>25</v>
      </c>
      <c r="D96">
        <v>65602.975000000006</v>
      </c>
    </row>
    <row r="97" spans="1:4" x14ac:dyDescent="0.3">
      <c r="A97">
        <v>5</v>
      </c>
      <c r="B97">
        <v>9</v>
      </c>
      <c r="C97" t="s">
        <v>25</v>
      </c>
      <c r="D97">
        <v>63525.95</v>
      </c>
    </row>
    <row r="98" spans="1:4" x14ac:dyDescent="0.3">
      <c r="A98">
        <v>5</v>
      </c>
      <c r="B98">
        <v>10</v>
      </c>
      <c r="C98" t="s">
        <v>25</v>
      </c>
      <c r="D98">
        <v>65745.55</v>
      </c>
    </row>
    <row r="99" spans="1:4" x14ac:dyDescent="0.3">
      <c r="A99">
        <v>5</v>
      </c>
      <c r="B99">
        <v>11</v>
      </c>
      <c r="C99" t="s">
        <v>25</v>
      </c>
      <c r="D99">
        <v>64084.724999999999</v>
      </c>
    </row>
    <row r="100" spans="1:4" x14ac:dyDescent="0.3">
      <c r="A100">
        <v>5</v>
      </c>
      <c r="B100">
        <v>12</v>
      </c>
      <c r="C100" t="s">
        <v>25</v>
      </c>
      <c r="D100">
        <v>62144.35</v>
      </c>
    </row>
    <row r="101" spans="1:4" x14ac:dyDescent="0.3">
      <c r="A101">
        <v>5</v>
      </c>
      <c r="B101">
        <v>13</v>
      </c>
      <c r="C101" t="s">
        <v>25</v>
      </c>
      <c r="D101">
        <v>65452.925000000003</v>
      </c>
    </row>
    <row r="102" spans="1:4" x14ac:dyDescent="0.3">
      <c r="A102">
        <v>5</v>
      </c>
      <c r="B102">
        <v>14</v>
      </c>
      <c r="C102" t="s">
        <v>25</v>
      </c>
      <c r="D102">
        <v>65024.324999999997</v>
      </c>
    </row>
    <row r="103" spans="1:4" x14ac:dyDescent="0.3">
      <c r="A103">
        <v>5</v>
      </c>
      <c r="B103">
        <v>15</v>
      </c>
      <c r="C103" t="s">
        <v>25</v>
      </c>
      <c r="D103">
        <v>66434.824999999997</v>
      </c>
    </row>
    <row r="104" spans="1:4" x14ac:dyDescent="0.3">
      <c r="A104">
        <v>5</v>
      </c>
      <c r="B104">
        <v>16</v>
      </c>
      <c r="C104" t="s">
        <v>25</v>
      </c>
      <c r="D104">
        <v>63056.775000000001</v>
      </c>
    </row>
    <row r="105" spans="1:4" x14ac:dyDescent="0.3">
      <c r="A105">
        <v>5</v>
      </c>
      <c r="B105">
        <v>17</v>
      </c>
      <c r="C105" t="s">
        <v>25</v>
      </c>
      <c r="D105">
        <v>66042.274999999994</v>
      </c>
    </row>
    <row r="106" spans="1:4" x14ac:dyDescent="0.3">
      <c r="A106">
        <v>5</v>
      </c>
      <c r="B106">
        <v>18</v>
      </c>
      <c r="C106" t="s">
        <v>25</v>
      </c>
      <c r="D106">
        <v>66472.975000000006</v>
      </c>
    </row>
    <row r="107" spans="1:4" x14ac:dyDescent="0.3">
      <c r="A107">
        <v>5</v>
      </c>
      <c r="B107">
        <v>19</v>
      </c>
      <c r="C107" t="s">
        <v>25</v>
      </c>
      <c r="D107">
        <v>65417.875</v>
      </c>
    </row>
    <row r="108" spans="1:4" x14ac:dyDescent="0.3">
      <c r="A108">
        <v>5</v>
      </c>
      <c r="B108">
        <v>20</v>
      </c>
      <c r="C108" t="s">
        <v>25</v>
      </c>
      <c r="D108">
        <v>63939.574999999997</v>
      </c>
    </row>
  </sheetData>
  <autoFilter ref="A8:D8" xr:uid="{A224F0F0-A6E4-4676-9E83-66CAFF756F84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57C5E-DCD9-4CBE-A90D-7A578F85FF67}">
  <dimension ref="A1:N108"/>
  <sheetViews>
    <sheetView workbookViewId="0">
      <selection activeCell="A8" sqref="A8:D8"/>
    </sheetView>
  </sheetViews>
  <sheetFormatPr defaultRowHeight="14.4" x14ac:dyDescent="0.3"/>
  <cols>
    <col min="3" max="3" width="17.21875" customWidth="1"/>
    <col min="4" max="4" width="12.88671875" customWidth="1"/>
    <col min="12" max="12" width="22.6640625" customWidth="1"/>
  </cols>
  <sheetData>
    <row r="1" spans="1:14" x14ac:dyDescent="0.3">
      <c r="A1" t="s">
        <v>28</v>
      </c>
      <c r="K1" t="s">
        <v>2</v>
      </c>
      <c r="L1" t="s">
        <v>3</v>
      </c>
      <c r="M1" t="s">
        <v>4</v>
      </c>
      <c r="N1" t="s">
        <v>5</v>
      </c>
    </row>
    <row r="2" spans="1:14" x14ac:dyDescent="0.3">
      <c r="B2" t="s">
        <v>6</v>
      </c>
      <c r="C2">
        <f>_xlfn.AGGREGATE(5,5,D9:D108)</f>
        <v>67156.600000000006</v>
      </c>
      <c r="K2">
        <v>1</v>
      </c>
      <c r="L2" t="s">
        <v>29</v>
      </c>
      <c r="M2">
        <v>12</v>
      </c>
      <c r="N2" s="1">
        <f>M2/20</f>
        <v>0.6</v>
      </c>
    </row>
    <row r="3" spans="1:14" x14ac:dyDescent="0.3">
      <c r="B3" t="s">
        <v>8</v>
      </c>
      <c r="C3">
        <f>_xlfn.AGGREGATE(4,5,D9:D108)</f>
        <v>110216.12</v>
      </c>
      <c r="K3">
        <v>2</v>
      </c>
      <c r="L3" t="s">
        <v>30</v>
      </c>
      <c r="M3">
        <v>20</v>
      </c>
      <c r="N3" s="1">
        <f t="shared" ref="N3:N6" si="0">M3/20</f>
        <v>1</v>
      </c>
    </row>
    <row r="4" spans="1:14" x14ac:dyDescent="0.3">
      <c r="B4" t="s">
        <v>9</v>
      </c>
      <c r="C4">
        <f>SUBTOTAL(101,D9:D108)</f>
        <v>82195.606999999975</v>
      </c>
      <c r="K4">
        <v>3</v>
      </c>
      <c r="L4" t="s">
        <v>31</v>
      </c>
      <c r="M4">
        <v>9</v>
      </c>
      <c r="N4" s="1">
        <f t="shared" si="0"/>
        <v>0.45</v>
      </c>
    </row>
    <row r="5" spans="1:14" x14ac:dyDescent="0.3">
      <c r="B5" t="s">
        <v>11</v>
      </c>
      <c r="C5">
        <f>SUBTOTAL(108,D9:D108)</f>
        <v>13333.436390770397</v>
      </c>
      <c r="K5">
        <v>4</v>
      </c>
      <c r="L5" t="s">
        <v>32</v>
      </c>
      <c r="M5">
        <v>20</v>
      </c>
      <c r="N5" s="1">
        <f t="shared" si="0"/>
        <v>1</v>
      </c>
    </row>
    <row r="6" spans="1:14" x14ac:dyDescent="0.3">
      <c r="B6" t="s">
        <v>13</v>
      </c>
      <c r="C6">
        <f>SUBTOTAL(108,D9:D108)/SUBTOTAL(101,D9:D108)</f>
        <v>0.16221592463901874</v>
      </c>
      <c r="K6">
        <v>5</v>
      </c>
      <c r="L6" t="s">
        <v>33</v>
      </c>
      <c r="M6">
        <v>15</v>
      </c>
      <c r="N6" s="1">
        <f t="shared" si="0"/>
        <v>0.75</v>
      </c>
    </row>
    <row r="8" spans="1:14" x14ac:dyDescent="0.3">
      <c r="A8" t="s">
        <v>2</v>
      </c>
      <c r="B8" t="s">
        <v>15</v>
      </c>
      <c r="C8" t="s">
        <v>16</v>
      </c>
      <c r="D8" t="s">
        <v>17</v>
      </c>
    </row>
    <row r="9" spans="1:14" x14ac:dyDescent="0.3">
      <c r="A9">
        <v>1</v>
      </c>
      <c r="B9">
        <v>1</v>
      </c>
      <c r="C9" t="s">
        <v>34</v>
      </c>
      <c r="D9">
        <v>70708.800000000003</v>
      </c>
    </row>
    <row r="10" spans="1:14" x14ac:dyDescent="0.3">
      <c r="A10">
        <v>1</v>
      </c>
      <c r="B10">
        <v>2</v>
      </c>
      <c r="C10" t="s">
        <v>34</v>
      </c>
      <c r="D10">
        <v>71506.16</v>
      </c>
    </row>
    <row r="11" spans="1:14" x14ac:dyDescent="0.3">
      <c r="A11">
        <v>1</v>
      </c>
      <c r="B11">
        <v>3</v>
      </c>
      <c r="C11" t="s">
        <v>34</v>
      </c>
      <c r="D11">
        <v>74006.080000000002</v>
      </c>
    </row>
    <row r="12" spans="1:14" x14ac:dyDescent="0.3">
      <c r="A12">
        <v>1</v>
      </c>
      <c r="B12">
        <v>4</v>
      </c>
      <c r="C12" t="s">
        <v>29</v>
      </c>
      <c r="D12">
        <v>72485.7</v>
      </c>
    </row>
    <row r="13" spans="1:14" x14ac:dyDescent="0.3">
      <c r="A13">
        <v>1</v>
      </c>
      <c r="B13">
        <v>5</v>
      </c>
      <c r="C13" t="s">
        <v>29</v>
      </c>
      <c r="D13">
        <v>72454.7</v>
      </c>
    </row>
    <row r="14" spans="1:14" x14ac:dyDescent="0.3">
      <c r="A14">
        <v>1</v>
      </c>
      <c r="B14">
        <v>6</v>
      </c>
      <c r="C14" t="s">
        <v>29</v>
      </c>
      <c r="D14">
        <v>70901.88</v>
      </c>
    </row>
    <row r="15" spans="1:14" x14ac:dyDescent="0.3">
      <c r="A15">
        <v>1</v>
      </c>
      <c r="B15">
        <v>7</v>
      </c>
      <c r="C15" t="s">
        <v>34</v>
      </c>
      <c r="D15">
        <v>72671.28</v>
      </c>
    </row>
    <row r="16" spans="1:14" x14ac:dyDescent="0.3">
      <c r="A16">
        <v>1</v>
      </c>
      <c r="B16">
        <v>8</v>
      </c>
      <c r="C16" t="s">
        <v>34</v>
      </c>
      <c r="D16">
        <v>72424.66</v>
      </c>
    </row>
    <row r="17" spans="1:4" x14ac:dyDescent="0.3">
      <c r="A17">
        <v>1</v>
      </c>
      <c r="B17">
        <v>9</v>
      </c>
      <c r="C17" t="s">
        <v>29</v>
      </c>
      <c r="D17">
        <v>72051.7</v>
      </c>
    </row>
    <row r="18" spans="1:4" x14ac:dyDescent="0.3">
      <c r="A18">
        <v>1</v>
      </c>
      <c r="B18">
        <v>10</v>
      </c>
      <c r="C18" t="s">
        <v>29</v>
      </c>
      <c r="D18">
        <v>71238.320000000007</v>
      </c>
    </row>
    <row r="19" spans="1:4" x14ac:dyDescent="0.3">
      <c r="A19">
        <v>1</v>
      </c>
      <c r="B19">
        <v>11</v>
      </c>
      <c r="C19" t="s">
        <v>34</v>
      </c>
      <c r="D19">
        <v>72994.02</v>
      </c>
    </row>
    <row r="20" spans="1:4" x14ac:dyDescent="0.3">
      <c r="A20">
        <v>1</v>
      </c>
      <c r="B20">
        <v>12</v>
      </c>
      <c r="C20" t="s">
        <v>34</v>
      </c>
      <c r="D20">
        <v>71939.199999999997</v>
      </c>
    </row>
    <row r="21" spans="1:4" x14ac:dyDescent="0.3">
      <c r="A21">
        <v>1</v>
      </c>
      <c r="B21">
        <v>13</v>
      </c>
      <c r="C21" t="s">
        <v>29</v>
      </c>
      <c r="D21">
        <v>71593.740000000005</v>
      </c>
    </row>
    <row r="22" spans="1:4" x14ac:dyDescent="0.3">
      <c r="A22">
        <v>1</v>
      </c>
      <c r="B22">
        <v>14</v>
      </c>
      <c r="C22" t="s">
        <v>29</v>
      </c>
      <c r="D22">
        <v>73282.92</v>
      </c>
    </row>
    <row r="23" spans="1:4" x14ac:dyDescent="0.3">
      <c r="A23">
        <v>1</v>
      </c>
      <c r="B23">
        <v>15</v>
      </c>
      <c r="C23" t="s">
        <v>29</v>
      </c>
      <c r="D23">
        <v>73592.479999999996</v>
      </c>
    </row>
    <row r="24" spans="1:4" x14ac:dyDescent="0.3">
      <c r="A24">
        <v>1</v>
      </c>
      <c r="B24">
        <v>16</v>
      </c>
      <c r="C24" t="s">
        <v>34</v>
      </c>
      <c r="D24">
        <v>71174.78</v>
      </c>
    </row>
    <row r="25" spans="1:4" x14ac:dyDescent="0.3">
      <c r="A25">
        <v>1</v>
      </c>
      <c r="B25">
        <v>17</v>
      </c>
      <c r="C25" t="s">
        <v>29</v>
      </c>
      <c r="D25">
        <v>70335.740000000005</v>
      </c>
    </row>
    <row r="26" spans="1:4" x14ac:dyDescent="0.3">
      <c r="A26">
        <v>1</v>
      </c>
      <c r="B26">
        <v>18</v>
      </c>
      <c r="C26" t="s">
        <v>29</v>
      </c>
      <c r="D26">
        <v>73974.880000000005</v>
      </c>
    </row>
    <row r="27" spans="1:4" x14ac:dyDescent="0.3">
      <c r="A27">
        <v>1</v>
      </c>
      <c r="B27">
        <v>19</v>
      </c>
      <c r="C27" t="s">
        <v>29</v>
      </c>
      <c r="D27">
        <v>74139.58</v>
      </c>
    </row>
    <row r="28" spans="1:4" x14ac:dyDescent="0.3">
      <c r="A28">
        <v>1</v>
      </c>
      <c r="B28">
        <v>20</v>
      </c>
      <c r="C28" t="s">
        <v>29</v>
      </c>
      <c r="D28">
        <v>74523.88</v>
      </c>
    </row>
    <row r="29" spans="1:4" x14ac:dyDescent="0.3">
      <c r="A29">
        <v>2</v>
      </c>
      <c r="B29">
        <v>1</v>
      </c>
      <c r="C29" t="s">
        <v>30</v>
      </c>
      <c r="D29">
        <v>81908.58</v>
      </c>
    </row>
    <row r="30" spans="1:4" x14ac:dyDescent="0.3">
      <c r="A30">
        <v>2</v>
      </c>
      <c r="B30">
        <v>2</v>
      </c>
      <c r="C30" t="s">
        <v>30</v>
      </c>
      <c r="D30">
        <v>84312.56</v>
      </c>
    </row>
    <row r="31" spans="1:4" x14ac:dyDescent="0.3">
      <c r="A31">
        <v>2</v>
      </c>
      <c r="B31">
        <v>3</v>
      </c>
      <c r="C31" t="s">
        <v>30</v>
      </c>
      <c r="D31">
        <v>86358.12</v>
      </c>
    </row>
    <row r="32" spans="1:4" x14ac:dyDescent="0.3">
      <c r="A32">
        <v>2</v>
      </c>
      <c r="B32">
        <v>4</v>
      </c>
      <c r="C32" t="s">
        <v>30</v>
      </c>
      <c r="D32">
        <v>80285.8</v>
      </c>
    </row>
    <row r="33" spans="1:4" x14ac:dyDescent="0.3">
      <c r="A33">
        <v>2</v>
      </c>
      <c r="B33">
        <v>5</v>
      </c>
      <c r="C33" t="s">
        <v>30</v>
      </c>
      <c r="D33">
        <v>81294.92</v>
      </c>
    </row>
    <row r="34" spans="1:4" x14ac:dyDescent="0.3">
      <c r="A34">
        <v>2</v>
      </c>
      <c r="B34">
        <v>6</v>
      </c>
      <c r="C34" t="s">
        <v>30</v>
      </c>
      <c r="D34">
        <v>82489.039999999994</v>
      </c>
    </row>
    <row r="35" spans="1:4" x14ac:dyDescent="0.3">
      <c r="A35">
        <v>2</v>
      </c>
      <c r="B35">
        <v>7</v>
      </c>
      <c r="C35" t="s">
        <v>30</v>
      </c>
      <c r="D35">
        <v>84498.1</v>
      </c>
    </row>
    <row r="36" spans="1:4" x14ac:dyDescent="0.3">
      <c r="A36">
        <v>2</v>
      </c>
      <c r="B36">
        <v>8</v>
      </c>
      <c r="C36" t="s">
        <v>30</v>
      </c>
      <c r="D36">
        <v>82525.7</v>
      </c>
    </row>
    <row r="37" spans="1:4" x14ac:dyDescent="0.3">
      <c r="A37">
        <v>2</v>
      </c>
      <c r="B37">
        <v>9</v>
      </c>
      <c r="C37" t="s">
        <v>30</v>
      </c>
      <c r="D37">
        <v>79830.48</v>
      </c>
    </row>
    <row r="38" spans="1:4" x14ac:dyDescent="0.3">
      <c r="A38">
        <v>2</v>
      </c>
      <c r="B38">
        <v>10</v>
      </c>
      <c r="C38" t="s">
        <v>30</v>
      </c>
      <c r="D38">
        <v>81799.28</v>
      </c>
    </row>
    <row r="39" spans="1:4" x14ac:dyDescent="0.3">
      <c r="A39">
        <v>2</v>
      </c>
      <c r="B39">
        <v>11</v>
      </c>
      <c r="C39" t="s">
        <v>30</v>
      </c>
      <c r="D39">
        <v>83579.5</v>
      </c>
    </row>
    <row r="40" spans="1:4" x14ac:dyDescent="0.3">
      <c r="A40">
        <v>2</v>
      </c>
      <c r="B40">
        <v>12</v>
      </c>
      <c r="C40" t="s">
        <v>30</v>
      </c>
      <c r="D40">
        <v>80053.02</v>
      </c>
    </row>
    <row r="41" spans="1:4" x14ac:dyDescent="0.3">
      <c r="A41">
        <v>2</v>
      </c>
      <c r="B41">
        <v>13</v>
      </c>
      <c r="C41" t="s">
        <v>30</v>
      </c>
      <c r="D41">
        <v>84544.54</v>
      </c>
    </row>
    <row r="42" spans="1:4" x14ac:dyDescent="0.3">
      <c r="A42">
        <v>2</v>
      </c>
      <c r="B42">
        <v>14</v>
      </c>
      <c r="C42" t="s">
        <v>30</v>
      </c>
      <c r="D42">
        <v>79004.06</v>
      </c>
    </row>
    <row r="43" spans="1:4" x14ac:dyDescent="0.3">
      <c r="A43">
        <v>2</v>
      </c>
      <c r="B43">
        <v>15</v>
      </c>
      <c r="C43" t="s">
        <v>30</v>
      </c>
      <c r="D43">
        <v>82606.399999999994</v>
      </c>
    </row>
    <row r="44" spans="1:4" x14ac:dyDescent="0.3">
      <c r="A44">
        <v>2</v>
      </c>
      <c r="B44">
        <v>16</v>
      </c>
      <c r="C44" t="s">
        <v>30</v>
      </c>
      <c r="D44">
        <v>83852.14</v>
      </c>
    </row>
    <row r="45" spans="1:4" x14ac:dyDescent="0.3">
      <c r="A45">
        <v>2</v>
      </c>
      <c r="B45">
        <v>17</v>
      </c>
      <c r="C45" t="s">
        <v>30</v>
      </c>
      <c r="D45">
        <v>82019.88</v>
      </c>
    </row>
    <row r="46" spans="1:4" x14ac:dyDescent="0.3">
      <c r="A46">
        <v>2</v>
      </c>
      <c r="B46">
        <v>18</v>
      </c>
      <c r="C46" t="s">
        <v>30</v>
      </c>
      <c r="D46">
        <v>87758.96</v>
      </c>
    </row>
    <row r="47" spans="1:4" x14ac:dyDescent="0.3">
      <c r="A47">
        <v>2</v>
      </c>
      <c r="B47">
        <v>19</v>
      </c>
      <c r="C47" t="s">
        <v>30</v>
      </c>
      <c r="D47">
        <v>81870.720000000001</v>
      </c>
    </row>
    <row r="48" spans="1:4" x14ac:dyDescent="0.3">
      <c r="A48">
        <v>2</v>
      </c>
      <c r="B48">
        <v>20</v>
      </c>
      <c r="C48" t="s">
        <v>30</v>
      </c>
      <c r="D48">
        <v>84438.94</v>
      </c>
    </row>
    <row r="49" spans="1:4" x14ac:dyDescent="0.3">
      <c r="A49">
        <v>3</v>
      </c>
      <c r="B49">
        <v>1</v>
      </c>
      <c r="C49" t="s">
        <v>35</v>
      </c>
      <c r="D49">
        <v>106060.1</v>
      </c>
    </row>
    <row r="50" spans="1:4" x14ac:dyDescent="0.3">
      <c r="A50">
        <v>3</v>
      </c>
      <c r="B50">
        <v>2</v>
      </c>
      <c r="C50" t="s">
        <v>36</v>
      </c>
      <c r="D50">
        <v>108330.36</v>
      </c>
    </row>
    <row r="51" spans="1:4" x14ac:dyDescent="0.3">
      <c r="A51">
        <v>3</v>
      </c>
      <c r="B51">
        <v>3</v>
      </c>
      <c r="C51" t="s">
        <v>36</v>
      </c>
      <c r="D51">
        <v>105696.04</v>
      </c>
    </row>
    <row r="52" spans="1:4" x14ac:dyDescent="0.3">
      <c r="A52">
        <v>3</v>
      </c>
      <c r="B52">
        <v>4</v>
      </c>
      <c r="C52" t="s">
        <v>36</v>
      </c>
      <c r="D52">
        <v>110216.12</v>
      </c>
    </row>
    <row r="53" spans="1:4" x14ac:dyDescent="0.3">
      <c r="A53">
        <v>3</v>
      </c>
      <c r="B53">
        <v>5</v>
      </c>
      <c r="C53" t="s">
        <v>37</v>
      </c>
      <c r="D53">
        <v>107144.4</v>
      </c>
    </row>
    <row r="54" spans="1:4" x14ac:dyDescent="0.3">
      <c r="A54">
        <v>3</v>
      </c>
      <c r="B54">
        <v>6</v>
      </c>
      <c r="C54" t="s">
        <v>37</v>
      </c>
      <c r="D54">
        <v>105259.12</v>
      </c>
    </row>
    <row r="55" spans="1:4" x14ac:dyDescent="0.3">
      <c r="A55">
        <v>3</v>
      </c>
      <c r="B55">
        <v>7</v>
      </c>
      <c r="C55" t="s">
        <v>36</v>
      </c>
      <c r="D55">
        <v>106436.38</v>
      </c>
    </row>
    <row r="56" spans="1:4" x14ac:dyDescent="0.3">
      <c r="A56">
        <v>3</v>
      </c>
      <c r="B56">
        <v>8</v>
      </c>
      <c r="C56" t="s">
        <v>36</v>
      </c>
      <c r="D56">
        <v>107284.84</v>
      </c>
    </row>
    <row r="57" spans="1:4" x14ac:dyDescent="0.3">
      <c r="A57">
        <v>3</v>
      </c>
      <c r="B57">
        <v>9</v>
      </c>
      <c r="C57" t="s">
        <v>36</v>
      </c>
      <c r="D57">
        <v>107251.2</v>
      </c>
    </row>
    <row r="58" spans="1:4" x14ac:dyDescent="0.3">
      <c r="A58">
        <v>3</v>
      </c>
      <c r="B58">
        <v>10</v>
      </c>
      <c r="C58" t="s">
        <v>37</v>
      </c>
      <c r="D58">
        <v>107385.06</v>
      </c>
    </row>
    <row r="59" spans="1:4" x14ac:dyDescent="0.3">
      <c r="A59">
        <v>3</v>
      </c>
      <c r="B59">
        <v>11</v>
      </c>
      <c r="C59" t="s">
        <v>37</v>
      </c>
      <c r="D59">
        <v>108962.26</v>
      </c>
    </row>
    <row r="60" spans="1:4" x14ac:dyDescent="0.3">
      <c r="A60">
        <v>3</v>
      </c>
      <c r="B60">
        <v>12</v>
      </c>
      <c r="C60" t="s">
        <v>37</v>
      </c>
      <c r="D60">
        <v>108340.9</v>
      </c>
    </row>
    <row r="61" spans="1:4" x14ac:dyDescent="0.3">
      <c r="A61">
        <v>3</v>
      </c>
      <c r="B61">
        <v>13</v>
      </c>
      <c r="C61" t="s">
        <v>37</v>
      </c>
      <c r="D61">
        <v>107841.02</v>
      </c>
    </row>
    <row r="62" spans="1:4" x14ac:dyDescent="0.3">
      <c r="A62">
        <v>3</v>
      </c>
      <c r="B62">
        <v>14</v>
      </c>
      <c r="C62" t="s">
        <v>37</v>
      </c>
      <c r="D62">
        <v>107456.36</v>
      </c>
    </row>
    <row r="63" spans="1:4" x14ac:dyDescent="0.3">
      <c r="A63">
        <v>3</v>
      </c>
      <c r="B63">
        <v>15</v>
      </c>
      <c r="C63" t="s">
        <v>36</v>
      </c>
      <c r="D63">
        <v>107228.94</v>
      </c>
    </row>
    <row r="64" spans="1:4" x14ac:dyDescent="0.3">
      <c r="A64">
        <v>3</v>
      </c>
      <c r="B64">
        <v>16</v>
      </c>
      <c r="C64" t="s">
        <v>37</v>
      </c>
      <c r="D64">
        <v>106655</v>
      </c>
    </row>
    <row r="65" spans="1:4" x14ac:dyDescent="0.3">
      <c r="A65">
        <v>3</v>
      </c>
      <c r="B65">
        <v>17</v>
      </c>
      <c r="C65" t="s">
        <v>36</v>
      </c>
      <c r="D65">
        <v>107292.26</v>
      </c>
    </row>
    <row r="66" spans="1:4" x14ac:dyDescent="0.3">
      <c r="A66">
        <v>3</v>
      </c>
      <c r="B66">
        <v>18</v>
      </c>
      <c r="C66" t="s">
        <v>36</v>
      </c>
      <c r="D66">
        <v>109452.88</v>
      </c>
    </row>
    <row r="67" spans="1:4" x14ac:dyDescent="0.3">
      <c r="A67">
        <v>3</v>
      </c>
      <c r="B67">
        <v>19</v>
      </c>
      <c r="C67" t="s">
        <v>37</v>
      </c>
      <c r="D67">
        <v>107210.56</v>
      </c>
    </row>
    <row r="68" spans="1:4" x14ac:dyDescent="0.3">
      <c r="A68">
        <v>3</v>
      </c>
      <c r="B68">
        <v>20</v>
      </c>
      <c r="C68" t="s">
        <v>36</v>
      </c>
      <c r="D68">
        <v>106495</v>
      </c>
    </row>
    <row r="69" spans="1:4" x14ac:dyDescent="0.3">
      <c r="A69">
        <v>4</v>
      </c>
      <c r="B69">
        <v>1</v>
      </c>
      <c r="C69" t="s">
        <v>32</v>
      </c>
      <c r="D69">
        <v>80101.06</v>
      </c>
    </row>
    <row r="70" spans="1:4" x14ac:dyDescent="0.3">
      <c r="A70">
        <v>4</v>
      </c>
      <c r="B70">
        <v>2</v>
      </c>
      <c r="C70" t="s">
        <v>32</v>
      </c>
      <c r="D70">
        <v>79522.5</v>
      </c>
    </row>
    <row r="71" spans="1:4" x14ac:dyDescent="0.3">
      <c r="A71">
        <v>4</v>
      </c>
      <c r="B71">
        <v>3</v>
      </c>
      <c r="C71" t="s">
        <v>32</v>
      </c>
      <c r="D71">
        <v>78365.759999999995</v>
      </c>
    </row>
    <row r="72" spans="1:4" x14ac:dyDescent="0.3">
      <c r="A72">
        <v>4</v>
      </c>
      <c r="B72">
        <v>4</v>
      </c>
      <c r="C72" t="s">
        <v>32</v>
      </c>
      <c r="D72">
        <v>77126</v>
      </c>
    </row>
    <row r="73" spans="1:4" x14ac:dyDescent="0.3">
      <c r="A73">
        <v>4</v>
      </c>
      <c r="B73">
        <v>5</v>
      </c>
      <c r="C73" t="s">
        <v>32</v>
      </c>
      <c r="D73">
        <v>78989.2</v>
      </c>
    </row>
    <row r="74" spans="1:4" x14ac:dyDescent="0.3">
      <c r="A74">
        <v>4</v>
      </c>
      <c r="B74">
        <v>6</v>
      </c>
      <c r="C74" t="s">
        <v>32</v>
      </c>
      <c r="D74">
        <v>75270.320000000007</v>
      </c>
    </row>
    <row r="75" spans="1:4" x14ac:dyDescent="0.3">
      <c r="A75">
        <v>4</v>
      </c>
      <c r="B75">
        <v>7</v>
      </c>
      <c r="C75" t="s">
        <v>32</v>
      </c>
      <c r="D75">
        <v>74768.62</v>
      </c>
    </row>
    <row r="76" spans="1:4" x14ac:dyDescent="0.3">
      <c r="A76">
        <v>4</v>
      </c>
      <c r="B76">
        <v>8</v>
      </c>
      <c r="C76" t="s">
        <v>32</v>
      </c>
      <c r="D76">
        <v>78292.679999999993</v>
      </c>
    </row>
    <row r="77" spans="1:4" x14ac:dyDescent="0.3">
      <c r="A77">
        <v>4</v>
      </c>
      <c r="B77">
        <v>9</v>
      </c>
      <c r="C77" t="s">
        <v>32</v>
      </c>
      <c r="D77">
        <v>77064.7</v>
      </c>
    </row>
    <row r="78" spans="1:4" x14ac:dyDescent="0.3">
      <c r="A78">
        <v>4</v>
      </c>
      <c r="B78">
        <v>10</v>
      </c>
      <c r="C78" t="s">
        <v>32</v>
      </c>
      <c r="D78">
        <v>75606.100000000006</v>
      </c>
    </row>
    <row r="79" spans="1:4" x14ac:dyDescent="0.3">
      <c r="A79">
        <v>4</v>
      </c>
      <c r="B79">
        <v>11</v>
      </c>
      <c r="C79" t="s">
        <v>32</v>
      </c>
      <c r="D79">
        <v>75985.279999999999</v>
      </c>
    </row>
    <row r="80" spans="1:4" x14ac:dyDescent="0.3">
      <c r="A80">
        <v>4</v>
      </c>
      <c r="B80">
        <v>12</v>
      </c>
      <c r="C80" t="s">
        <v>32</v>
      </c>
      <c r="D80">
        <v>77093.34</v>
      </c>
    </row>
    <row r="81" spans="1:4" x14ac:dyDescent="0.3">
      <c r="A81">
        <v>4</v>
      </c>
      <c r="B81">
        <v>13</v>
      </c>
      <c r="C81" t="s">
        <v>32</v>
      </c>
      <c r="D81">
        <v>75462.740000000005</v>
      </c>
    </row>
    <row r="82" spans="1:4" x14ac:dyDescent="0.3">
      <c r="A82">
        <v>4</v>
      </c>
      <c r="B82">
        <v>14</v>
      </c>
      <c r="C82" t="s">
        <v>32</v>
      </c>
      <c r="D82">
        <v>75539.06</v>
      </c>
    </row>
    <row r="83" spans="1:4" x14ac:dyDescent="0.3">
      <c r="A83">
        <v>4</v>
      </c>
      <c r="B83">
        <v>15</v>
      </c>
      <c r="C83" t="s">
        <v>32</v>
      </c>
      <c r="D83">
        <v>78334.3</v>
      </c>
    </row>
    <row r="84" spans="1:4" x14ac:dyDescent="0.3">
      <c r="A84">
        <v>4</v>
      </c>
      <c r="B84">
        <v>16</v>
      </c>
      <c r="C84" t="s">
        <v>32</v>
      </c>
      <c r="D84">
        <v>78097.179999999993</v>
      </c>
    </row>
    <row r="85" spans="1:4" x14ac:dyDescent="0.3">
      <c r="A85">
        <v>4</v>
      </c>
      <c r="B85">
        <v>17</v>
      </c>
      <c r="C85" t="s">
        <v>32</v>
      </c>
      <c r="D85">
        <v>78994.14</v>
      </c>
    </row>
    <row r="86" spans="1:4" x14ac:dyDescent="0.3">
      <c r="A86">
        <v>4</v>
      </c>
      <c r="B86">
        <v>18</v>
      </c>
      <c r="C86" t="s">
        <v>32</v>
      </c>
      <c r="D86">
        <v>77662.58</v>
      </c>
    </row>
    <row r="87" spans="1:4" x14ac:dyDescent="0.3">
      <c r="A87">
        <v>4</v>
      </c>
      <c r="B87">
        <v>19</v>
      </c>
      <c r="C87" t="s">
        <v>32</v>
      </c>
      <c r="D87">
        <v>76608.94</v>
      </c>
    </row>
    <row r="88" spans="1:4" x14ac:dyDescent="0.3">
      <c r="A88">
        <v>4</v>
      </c>
      <c r="B88">
        <v>20</v>
      </c>
      <c r="C88" t="s">
        <v>32</v>
      </c>
      <c r="D88">
        <v>75597.52</v>
      </c>
    </row>
    <row r="89" spans="1:4" x14ac:dyDescent="0.3">
      <c r="A89">
        <v>5</v>
      </c>
      <c r="B89">
        <v>1</v>
      </c>
      <c r="C89" t="s">
        <v>38</v>
      </c>
      <c r="D89">
        <v>72026.98</v>
      </c>
    </row>
    <row r="90" spans="1:4" x14ac:dyDescent="0.3">
      <c r="A90">
        <v>5</v>
      </c>
      <c r="B90">
        <v>2</v>
      </c>
      <c r="C90" t="s">
        <v>38</v>
      </c>
      <c r="D90">
        <v>74284.820000000007</v>
      </c>
    </row>
    <row r="91" spans="1:4" x14ac:dyDescent="0.3">
      <c r="A91">
        <v>5</v>
      </c>
      <c r="B91">
        <v>3</v>
      </c>
      <c r="C91" t="s">
        <v>38</v>
      </c>
      <c r="D91">
        <v>71542.12</v>
      </c>
    </row>
    <row r="92" spans="1:4" x14ac:dyDescent="0.3">
      <c r="A92">
        <v>5</v>
      </c>
      <c r="B92">
        <v>4</v>
      </c>
      <c r="C92" t="s">
        <v>38</v>
      </c>
      <c r="D92">
        <v>70797.679999999993</v>
      </c>
    </row>
    <row r="93" spans="1:4" x14ac:dyDescent="0.3">
      <c r="A93">
        <v>5</v>
      </c>
      <c r="B93">
        <v>5</v>
      </c>
      <c r="C93" t="s">
        <v>39</v>
      </c>
      <c r="D93">
        <v>72215.16</v>
      </c>
    </row>
    <row r="94" spans="1:4" x14ac:dyDescent="0.3">
      <c r="A94">
        <v>5</v>
      </c>
      <c r="B94">
        <v>6</v>
      </c>
      <c r="C94" t="s">
        <v>38</v>
      </c>
      <c r="D94">
        <v>71026.44</v>
      </c>
    </row>
    <row r="95" spans="1:4" x14ac:dyDescent="0.3">
      <c r="A95">
        <v>5</v>
      </c>
      <c r="B95">
        <v>7</v>
      </c>
      <c r="C95" t="s">
        <v>38</v>
      </c>
      <c r="D95">
        <v>72095.960000000006</v>
      </c>
    </row>
    <row r="96" spans="1:4" x14ac:dyDescent="0.3">
      <c r="A96">
        <v>5</v>
      </c>
      <c r="B96">
        <v>8</v>
      </c>
      <c r="C96" t="s">
        <v>40</v>
      </c>
      <c r="D96">
        <v>70758.62</v>
      </c>
    </row>
    <row r="97" spans="1:4" x14ac:dyDescent="0.3">
      <c r="A97">
        <v>5</v>
      </c>
      <c r="B97">
        <v>9</v>
      </c>
      <c r="C97" t="s">
        <v>38</v>
      </c>
      <c r="D97">
        <v>70694.2</v>
      </c>
    </row>
    <row r="98" spans="1:4" x14ac:dyDescent="0.3">
      <c r="A98">
        <v>5</v>
      </c>
      <c r="B98">
        <v>10</v>
      </c>
      <c r="C98" t="s">
        <v>38</v>
      </c>
      <c r="D98">
        <v>70765.06</v>
      </c>
    </row>
    <row r="99" spans="1:4" x14ac:dyDescent="0.3">
      <c r="A99">
        <v>5</v>
      </c>
      <c r="B99">
        <v>11</v>
      </c>
      <c r="C99" t="s">
        <v>38</v>
      </c>
      <c r="D99">
        <v>67156.600000000006</v>
      </c>
    </row>
    <row r="100" spans="1:4" x14ac:dyDescent="0.3">
      <c r="A100">
        <v>5</v>
      </c>
      <c r="B100">
        <v>12</v>
      </c>
      <c r="C100" t="s">
        <v>40</v>
      </c>
      <c r="D100">
        <v>71952.460000000006</v>
      </c>
    </row>
    <row r="101" spans="1:4" x14ac:dyDescent="0.3">
      <c r="A101">
        <v>5</v>
      </c>
      <c r="B101">
        <v>13</v>
      </c>
      <c r="C101" t="s">
        <v>38</v>
      </c>
      <c r="D101">
        <v>71843.839999999997</v>
      </c>
    </row>
    <row r="102" spans="1:4" x14ac:dyDescent="0.3">
      <c r="A102">
        <v>5</v>
      </c>
      <c r="B102">
        <v>14</v>
      </c>
      <c r="C102" t="s">
        <v>38</v>
      </c>
      <c r="D102">
        <v>70498.259999999995</v>
      </c>
    </row>
    <row r="103" spans="1:4" x14ac:dyDescent="0.3">
      <c r="A103">
        <v>5</v>
      </c>
      <c r="B103">
        <v>15</v>
      </c>
      <c r="C103" t="s">
        <v>38</v>
      </c>
      <c r="D103">
        <v>72656.600000000006</v>
      </c>
    </row>
    <row r="104" spans="1:4" x14ac:dyDescent="0.3">
      <c r="A104">
        <v>5</v>
      </c>
      <c r="B104">
        <v>16</v>
      </c>
      <c r="C104" t="s">
        <v>40</v>
      </c>
      <c r="D104">
        <v>72347.34</v>
      </c>
    </row>
    <row r="105" spans="1:4" x14ac:dyDescent="0.3">
      <c r="A105">
        <v>5</v>
      </c>
      <c r="B105">
        <v>17</v>
      </c>
      <c r="C105" t="s">
        <v>38</v>
      </c>
      <c r="D105">
        <v>69661.64</v>
      </c>
    </row>
    <row r="106" spans="1:4" x14ac:dyDescent="0.3">
      <c r="A106">
        <v>5</v>
      </c>
      <c r="B106">
        <v>18</v>
      </c>
      <c r="C106" t="s">
        <v>38</v>
      </c>
      <c r="D106">
        <v>70397.179999999993</v>
      </c>
    </row>
    <row r="107" spans="1:4" x14ac:dyDescent="0.3">
      <c r="A107">
        <v>5</v>
      </c>
      <c r="B107">
        <v>19</v>
      </c>
      <c r="C107" t="s">
        <v>38</v>
      </c>
      <c r="D107">
        <v>70013.919999999998</v>
      </c>
    </row>
    <row r="108" spans="1:4" x14ac:dyDescent="0.3">
      <c r="A108">
        <v>5</v>
      </c>
      <c r="B108">
        <v>20</v>
      </c>
      <c r="C108" t="s">
        <v>40</v>
      </c>
      <c r="D108">
        <v>71313.759999999995</v>
      </c>
    </row>
  </sheetData>
  <autoFilter ref="A8:D8" xr:uid="{9FA57C5E-DCD9-4CBE-A90D-7A578F85FF6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6499B4-DBD5-41DB-A0F4-C2BE6E90B593}">
  <dimension ref="A1:L108"/>
  <sheetViews>
    <sheetView workbookViewId="0">
      <selection activeCell="H18" sqref="H18"/>
    </sheetView>
  </sheetViews>
  <sheetFormatPr defaultColWidth="16.109375" defaultRowHeight="14.4" x14ac:dyDescent="0.3"/>
  <sheetData>
    <row r="1" spans="1:12" x14ac:dyDescent="0.3">
      <c r="A1" t="s">
        <v>41</v>
      </c>
      <c r="I1" t="s">
        <v>2</v>
      </c>
      <c r="J1" t="s">
        <v>3</v>
      </c>
      <c r="K1" t="s">
        <v>4</v>
      </c>
      <c r="L1" t="s">
        <v>5</v>
      </c>
    </row>
    <row r="2" spans="1:12" x14ac:dyDescent="0.3">
      <c r="B2" t="s">
        <v>6</v>
      </c>
      <c r="C2">
        <f>_xlfn.AGGREGATE(5,5,D9:D108)</f>
        <v>80100.44</v>
      </c>
      <c r="I2">
        <v>1</v>
      </c>
      <c r="J2" t="s">
        <v>42</v>
      </c>
      <c r="K2">
        <v>19</v>
      </c>
      <c r="L2" s="1">
        <f>K2/20</f>
        <v>0.95</v>
      </c>
    </row>
    <row r="3" spans="1:12" x14ac:dyDescent="0.3">
      <c r="B3" t="s">
        <v>8</v>
      </c>
      <c r="C3">
        <f>_xlfn.AGGREGATE(4,5,D9:D108)</f>
        <v>126806.46</v>
      </c>
      <c r="I3">
        <v>2</v>
      </c>
      <c r="J3" t="s">
        <v>43</v>
      </c>
      <c r="K3">
        <v>11</v>
      </c>
      <c r="L3" s="1">
        <f t="shared" ref="L3:L6" si="0">K3/20</f>
        <v>0.55000000000000004</v>
      </c>
    </row>
    <row r="4" spans="1:12" x14ac:dyDescent="0.3">
      <c r="B4" t="s">
        <v>9</v>
      </c>
      <c r="C4">
        <f>SUBTOTAL(101,D9:D108)</f>
        <v>98995.938799999989</v>
      </c>
      <c r="I4">
        <v>3</v>
      </c>
      <c r="J4" t="s">
        <v>44</v>
      </c>
      <c r="K4">
        <v>20</v>
      </c>
      <c r="L4" s="1">
        <f t="shared" si="0"/>
        <v>1</v>
      </c>
    </row>
    <row r="5" spans="1:12" x14ac:dyDescent="0.3">
      <c r="B5" t="s">
        <v>11</v>
      </c>
      <c r="C5">
        <f>SUBTOTAL(108,D9:D108)</f>
        <v>13765.65740928909</v>
      </c>
      <c r="I5">
        <v>4</v>
      </c>
      <c r="J5" t="s">
        <v>45</v>
      </c>
      <c r="K5">
        <v>20</v>
      </c>
      <c r="L5" s="1">
        <f t="shared" si="0"/>
        <v>1</v>
      </c>
    </row>
    <row r="6" spans="1:12" x14ac:dyDescent="0.3">
      <c r="B6" t="s">
        <v>13</v>
      </c>
      <c r="C6">
        <f>SUBTOTAL(108,D9:D108)/SUBTOTAL(101,D9:D108)</f>
        <v>0.13905274879103516</v>
      </c>
      <c r="I6">
        <v>5</v>
      </c>
      <c r="J6" t="s">
        <v>46</v>
      </c>
      <c r="K6">
        <v>20</v>
      </c>
      <c r="L6" s="1">
        <f t="shared" si="0"/>
        <v>1</v>
      </c>
    </row>
    <row r="8" spans="1:12" x14ac:dyDescent="0.3">
      <c r="A8" t="s">
        <v>2</v>
      </c>
      <c r="B8" t="s">
        <v>15</v>
      </c>
      <c r="C8" t="s">
        <v>16</v>
      </c>
      <c r="D8" t="s">
        <v>17</v>
      </c>
    </row>
    <row r="9" spans="1:12" x14ac:dyDescent="0.3">
      <c r="A9">
        <v>1</v>
      </c>
      <c r="B9">
        <v>1</v>
      </c>
      <c r="C9" t="s">
        <v>42</v>
      </c>
      <c r="D9">
        <v>83067.72</v>
      </c>
    </row>
    <row r="10" spans="1:12" x14ac:dyDescent="0.3">
      <c r="A10">
        <v>1</v>
      </c>
      <c r="B10">
        <v>2</v>
      </c>
      <c r="C10" t="s">
        <v>42</v>
      </c>
      <c r="D10">
        <v>83562.2</v>
      </c>
    </row>
    <row r="11" spans="1:12" x14ac:dyDescent="0.3">
      <c r="A11">
        <v>1</v>
      </c>
      <c r="B11">
        <v>3</v>
      </c>
      <c r="C11" t="s">
        <v>42</v>
      </c>
      <c r="D11">
        <v>85178.28</v>
      </c>
    </row>
    <row r="12" spans="1:12" x14ac:dyDescent="0.3">
      <c r="A12">
        <v>1</v>
      </c>
      <c r="B12">
        <v>4</v>
      </c>
      <c r="C12" t="s">
        <v>42</v>
      </c>
      <c r="D12">
        <v>84203.02</v>
      </c>
    </row>
    <row r="13" spans="1:12" x14ac:dyDescent="0.3">
      <c r="A13">
        <v>1</v>
      </c>
      <c r="B13">
        <v>5</v>
      </c>
      <c r="C13" t="s">
        <v>42</v>
      </c>
      <c r="D13">
        <v>82515.759999999995</v>
      </c>
    </row>
    <row r="14" spans="1:12" x14ac:dyDescent="0.3">
      <c r="A14">
        <v>1</v>
      </c>
      <c r="B14">
        <v>6</v>
      </c>
      <c r="C14" t="s">
        <v>42</v>
      </c>
      <c r="D14">
        <v>83226.36</v>
      </c>
    </row>
    <row r="15" spans="1:12" x14ac:dyDescent="0.3">
      <c r="A15">
        <v>1</v>
      </c>
      <c r="B15">
        <v>7</v>
      </c>
      <c r="C15" t="s">
        <v>42</v>
      </c>
      <c r="D15">
        <v>83531.86</v>
      </c>
    </row>
    <row r="16" spans="1:12" x14ac:dyDescent="0.3">
      <c r="A16">
        <v>1</v>
      </c>
      <c r="B16">
        <v>8</v>
      </c>
      <c r="C16" t="s">
        <v>42</v>
      </c>
      <c r="D16">
        <v>85246.48</v>
      </c>
    </row>
    <row r="17" spans="1:4" x14ac:dyDescent="0.3">
      <c r="A17">
        <v>1</v>
      </c>
      <c r="B17">
        <v>9</v>
      </c>
      <c r="C17" t="s">
        <v>42</v>
      </c>
      <c r="D17">
        <v>86188.58</v>
      </c>
    </row>
    <row r="18" spans="1:4" x14ac:dyDescent="0.3">
      <c r="A18">
        <v>1</v>
      </c>
      <c r="B18">
        <v>10</v>
      </c>
      <c r="C18" t="s">
        <v>42</v>
      </c>
      <c r="D18">
        <v>84678.98</v>
      </c>
    </row>
    <row r="19" spans="1:4" x14ac:dyDescent="0.3">
      <c r="A19">
        <v>1</v>
      </c>
      <c r="B19">
        <v>11</v>
      </c>
      <c r="C19" t="s">
        <v>42</v>
      </c>
      <c r="D19">
        <v>84912.04</v>
      </c>
    </row>
    <row r="20" spans="1:4" x14ac:dyDescent="0.3">
      <c r="A20">
        <v>1</v>
      </c>
      <c r="B20">
        <v>12</v>
      </c>
      <c r="C20" t="s">
        <v>42</v>
      </c>
      <c r="D20">
        <v>82554.86</v>
      </c>
    </row>
    <row r="21" spans="1:4" x14ac:dyDescent="0.3">
      <c r="A21">
        <v>1</v>
      </c>
      <c r="B21">
        <v>13</v>
      </c>
      <c r="C21" t="s">
        <v>42</v>
      </c>
      <c r="D21">
        <v>84061.04</v>
      </c>
    </row>
    <row r="22" spans="1:4" x14ac:dyDescent="0.3">
      <c r="A22">
        <v>1</v>
      </c>
      <c r="B22">
        <v>14</v>
      </c>
      <c r="C22" t="s">
        <v>47</v>
      </c>
      <c r="D22">
        <v>86040.14</v>
      </c>
    </row>
    <row r="23" spans="1:4" x14ac:dyDescent="0.3">
      <c r="A23">
        <v>1</v>
      </c>
      <c r="B23">
        <v>15</v>
      </c>
      <c r="C23" t="s">
        <v>42</v>
      </c>
      <c r="D23">
        <v>85096.960000000006</v>
      </c>
    </row>
    <row r="24" spans="1:4" x14ac:dyDescent="0.3">
      <c r="A24">
        <v>1</v>
      </c>
      <c r="B24">
        <v>16</v>
      </c>
      <c r="C24" t="s">
        <v>42</v>
      </c>
      <c r="D24">
        <v>80100.44</v>
      </c>
    </row>
    <row r="25" spans="1:4" x14ac:dyDescent="0.3">
      <c r="A25">
        <v>1</v>
      </c>
      <c r="B25">
        <v>17</v>
      </c>
      <c r="C25" t="s">
        <v>42</v>
      </c>
      <c r="D25">
        <v>83782.399999999994</v>
      </c>
    </row>
    <row r="26" spans="1:4" x14ac:dyDescent="0.3">
      <c r="A26">
        <v>1</v>
      </c>
      <c r="B26">
        <v>18</v>
      </c>
      <c r="C26" t="s">
        <v>42</v>
      </c>
      <c r="D26">
        <v>85108.52</v>
      </c>
    </row>
    <row r="27" spans="1:4" x14ac:dyDescent="0.3">
      <c r="A27">
        <v>1</v>
      </c>
      <c r="B27">
        <v>19</v>
      </c>
      <c r="C27" t="s">
        <v>42</v>
      </c>
      <c r="D27">
        <v>85869.4</v>
      </c>
    </row>
    <row r="28" spans="1:4" x14ac:dyDescent="0.3">
      <c r="A28">
        <v>1</v>
      </c>
      <c r="B28">
        <v>20</v>
      </c>
      <c r="C28" t="s">
        <v>42</v>
      </c>
      <c r="D28">
        <v>82857.600000000006</v>
      </c>
    </row>
    <row r="29" spans="1:4" x14ac:dyDescent="0.3">
      <c r="A29">
        <v>2</v>
      </c>
      <c r="B29">
        <v>1</v>
      </c>
      <c r="C29" t="s">
        <v>48</v>
      </c>
      <c r="D29">
        <v>101474.52</v>
      </c>
    </row>
    <row r="30" spans="1:4" x14ac:dyDescent="0.3">
      <c r="A30">
        <v>2</v>
      </c>
      <c r="B30">
        <v>2</v>
      </c>
      <c r="C30" t="s">
        <v>49</v>
      </c>
      <c r="D30">
        <v>104682.32</v>
      </c>
    </row>
    <row r="31" spans="1:4" x14ac:dyDescent="0.3">
      <c r="A31">
        <v>2</v>
      </c>
      <c r="B31">
        <v>3</v>
      </c>
      <c r="C31" t="s">
        <v>48</v>
      </c>
      <c r="D31">
        <v>103016.24</v>
      </c>
    </row>
    <row r="32" spans="1:4" x14ac:dyDescent="0.3">
      <c r="A32">
        <v>2</v>
      </c>
      <c r="B32">
        <v>4</v>
      </c>
      <c r="C32" t="s">
        <v>48</v>
      </c>
      <c r="D32">
        <v>100529.08</v>
      </c>
    </row>
    <row r="33" spans="1:4" x14ac:dyDescent="0.3">
      <c r="A33">
        <v>2</v>
      </c>
      <c r="B33">
        <v>5</v>
      </c>
      <c r="C33" t="s">
        <v>49</v>
      </c>
      <c r="D33">
        <v>99971.44</v>
      </c>
    </row>
    <row r="34" spans="1:4" x14ac:dyDescent="0.3">
      <c r="A34">
        <v>2</v>
      </c>
      <c r="B34">
        <v>6</v>
      </c>
      <c r="C34" t="s">
        <v>48</v>
      </c>
      <c r="D34">
        <v>104460.64</v>
      </c>
    </row>
    <row r="35" spans="1:4" x14ac:dyDescent="0.3">
      <c r="A35">
        <v>2</v>
      </c>
      <c r="B35">
        <v>7</v>
      </c>
      <c r="C35" t="s">
        <v>48</v>
      </c>
      <c r="D35">
        <v>101275.16</v>
      </c>
    </row>
    <row r="36" spans="1:4" x14ac:dyDescent="0.3">
      <c r="A36">
        <v>2</v>
      </c>
      <c r="B36">
        <v>8</v>
      </c>
      <c r="C36" t="s">
        <v>48</v>
      </c>
      <c r="D36">
        <v>103457.4</v>
      </c>
    </row>
    <row r="37" spans="1:4" x14ac:dyDescent="0.3">
      <c r="A37">
        <v>2</v>
      </c>
      <c r="B37">
        <v>9</v>
      </c>
      <c r="C37" t="s">
        <v>48</v>
      </c>
      <c r="D37">
        <v>103715.64</v>
      </c>
    </row>
    <row r="38" spans="1:4" x14ac:dyDescent="0.3">
      <c r="A38">
        <v>2</v>
      </c>
      <c r="B38">
        <v>10</v>
      </c>
      <c r="C38" t="s">
        <v>48</v>
      </c>
      <c r="D38">
        <v>102430.42</v>
      </c>
    </row>
    <row r="39" spans="1:4" x14ac:dyDescent="0.3">
      <c r="A39">
        <v>2</v>
      </c>
      <c r="B39">
        <v>11</v>
      </c>
      <c r="C39" t="s">
        <v>49</v>
      </c>
      <c r="D39">
        <v>101921.94</v>
      </c>
    </row>
    <row r="40" spans="1:4" x14ac:dyDescent="0.3">
      <c r="A40">
        <v>2</v>
      </c>
      <c r="B40">
        <v>12</v>
      </c>
      <c r="C40" t="s">
        <v>49</v>
      </c>
      <c r="D40">
        <v>103475.14</v>
      </c>
    </row>
    <row r="41" spans="1:4" x14ac:dyDescent="0.3">
      <c r="A41">
        <v>2</v>
      </c>
      <c r="B41">
        <v>13</v>
      </c>
      <c r="C41" t="s">
        <v>49</v>
      </c>
      <c r="D41">
        <v>103763.76</v>
      </c>
    </row>
    <row r="42" spans="1:4" x14ac:dyDescent="0.3">
      <c r="A42">
        <v>2</v>
      </c>
      <c r="B42">
        <v>14</v>
      </c>
      <c r="C42" t="s">
        <v>48</v>
      </c>
      <c r="D42">
        <v>103027.28</v>
      </c>
    </row>
    <row r="43" spans="1:4" x14ac:dyDescent="0.3">
      <c r="A43">
        <v>2</v>
      </c>
      <c r="B43">
        <v>15</v>
      </c>
      <c r="C43" t="s">
        <v>48</v>
      </c>
      <c r="D43">
        <v>103561.88</v>
      </c>
    </row>
    <row r="44" spans="1:4" x14ac:dyDescent="0.3">
      <c r="A44">
        <v>2</v>
      </c>
      <c r="B44">
        <v>16</v>
      </c>
      <c r="C44" t="s">
        <v>50</v>
      </c>
      <c r="D44">
        <v>101327.52</v>
      </c>
    </row>
    <row r="45" spans="1:4" x14ac:dyDescent="0.3">
      <c r="A45">
        <v>2</v>
      </c>
      <c r="B45">
        <v>17</v>
      </c>
      <c r="C45" t="s">
        <v>49</v>
      </c>
      <c r="D45">
        <v>99999.98</v>
      </c>
    </row>
    <row r="46" spans="1:4" x14ac:dyDescent="0.3">
      <c r="A46">
        <v>2</v>
      </c>
      <c r="B46">
        <v>18</v>
      </c>
      <c r="C46" t="s">
        <v>48</v>
      </c>
      <c r="D46">
        <v>101297.92</v>
      </c>
    </row>
    <row r="47" spans="1:4" x14ac:dyDescent="0.3">
      <c r="A47">
        <v>2</v>
      </c>
      <c r="B47">
        <v>19</v>
      </c>
      <c r="C47" t="s">
        <v>49</v>
      </c>
      <c r="D47">
        <v>103546.94</v>
      </c>
    </row>
    <row r="48" spans="1:4" x14ac:dyDescent="0.3">
      <c r="A48">
        <v>2</v>
      </c>
      <c r="B48">
        <v>20</v>
      </c>
      <c r="C48" t="s">
        <v>49</v>
      </c>
      <c r="D48">
        <v>102008.1</v>
      </c>
    </row>
    <row r="49" spans="1:4" x14ac:dyDescent="0.3">
      <c r="A49">
        <v>3</v>
      </c>
      <c r="B49">
        <v>1</v>
      </c>
      <c r="C49" t="s">
        <v>44</v>
      </c>
      <c r="D49">
        <v>121522.26</v>
      </c>
    </row>
    <row r="50" spans="1:4" x14ac:dyDescent="0.3">
      <c r="A50">
        <v>3</v>
      </c>
      <c r="B50">
        <v>2</v>
      </c>
      <c r="C50" t="s">
        <v>44</v>
      </c>
      <c r="D50">
        <v>121733.22</v>
      </c>
    </row>
    <row r="51" spans="1:4" x14ac:dyDescent="0.3">
      <c r="A51">
        <v>3</v>
      </c>
      <c r="B51">
        <v>3</v>
      </c>
      <c r="C51" t="s">
        <v>44</v>
      </c>
      <c r="D51">
        <v>118959.88</v>
      </c>
    </row>
    <row r="52" spans="1:4" x14ac:dyDescent="0.3">
      <c r="A52">
        <v>3</v>
      </c>
      <c r="B52">
        <v>4</v>
      </c>
      <c r="C52" t="s">
        <v>44</v>
      </c>
      <c r="D52">
        <v>122741.24</v>
      </c>
    </row>
    <row r="53" spans="1:4" x14ac:dyDescent="0.3">
      <c r="A53">
        <v>3</v>
      </c>
      <c r="B53">
        <v>5</v>
      </c>
      <c r="C53" t="s">
        <v>44</v>
      </c>
      <c r="D53">
        <v>125080.36</v>
      </c>
    </row>
    <row r="54" spans="1:4" x14ac:dyDescent="0.3">
      <c r="A54">
        <v>3</v>
      </c>
      <c r="B54">
        <v>6</v>
      </c>
      <c r="C54" t="s">
        <v>44</v>
      </c>
      <c r="D54">
        <v>121547.58</v>
      </c>
    </row>
    <row r="55" spans="1:4" x14ac:dyDescent="0.3">
      <c r="A55">
        <v>3</v>
      </c>
      <c r="B55">
        <v>7</v>
      </c>
      <c r="C55" t="s">
        <v>44</v>
      </c>
      <c r="D55">
        <v>119757.82</v>
      </c>
    </row>
    <row r="56" spans="1:4" x14ac:dyDescent="0.3">
      <c r="A56">
        <v>3</v>
      </c>
      <c r="B56">
        <v>8</v>
      </c>
      <c r="C56" t="s">
        <v>44</v>
      </c>
      <c r="D56">
        <v>121493.58</v>
      </c>
    </row>
    <row r="57" spans="1:4" x14ac:dyDescent="0.3">
      <c r="A57">
        <v>3</v>
      </c>
      <c r="B57">
        <v>9</v>
      </c>
      <c r="C57" t="s">
        <v>44</v>
      </c>
      <c r="D57">
        <v>120585.54</v>
      </c>
    </row>
    <row r="58" spans="1:4" x14ac:dyDescent="0.3">
      <c r="A58">
        <v>3</v>
      </c>
      <c r="B58">
        <v>10</v>
      </c>
      <c r="C58" t="s">
        <v>44</v>
      </c>
      <c r="D58">
        <v>120545.06</v>
      </c>
    </row>
    <row r="59" spans="1:4" x14ac:dyDescent="0.3">
      <c r="A59">
        <v>3</v>
      </c>
      <c r="B59">
        <v>11</v>
      </c>
      <c r="C59" t="s">
        <v>44</v>
      </c>
      <c r="D59">
        <v>123584.54</v>
      </c>
    </row>
    <row r="60" spans="1:4" x14ac:dyDescent="0.3">
      <c r="A60">
        <v>3</v>
      </c>
      <c r="B60">
        <v>12</v>
      </c>
      <c r="C60" t="s">
        <v>44</v>
      </c>
      <c r="D60">
        <v>122015.92</v>
      </c>
    </row>
    <row r="61" spans="1:4" x14ac:dyDescent="0.3">
      <c r="A61">
        <v>3</v>
      </c>
      <c r="B61">
        <v>13</v>
      </c>
      <c r="C61" t="s">
        <v>44</v>
      </c>
      <c r="D61">
        <v>123197.26</v>
      </c>
    </row>
    <row r="62" spans="1:4" x14ac:dyDescent="0.3">
      <c r="A62">
        <v>3</v>
      </c>
      <c r="B62">
        <v>14</v>
      </c>
      <c r="C62" t="s">
        <v>44</v>
      </c>
      <c r="D62">
        <v>116516.76</v>
      </c>
    </row>
    <row r="63" spans="1:4" x14ac:dyDescent="0.3">
      <c r="A63">
        <v>3</v>
      </c>
      <c r="B63">
        <v>15</v>
      </c>
      <c r="C63" t="s">
        <v>44</v>
      </c>
      <c r="D63">
        <v>120937.54</v>
      </c>
    </row>
    <row r="64" spans="1:4" x14ac:dyDescent="0.3">
      <c r="A64">
        <v>3</v>
      </c>
      <c r="B64">
        <v>16</v>
      </c>
      <c r="C64" t="s">
        <v>44</v>
      </c>
      <c r="D64">
        <v>118334.88</v>
      </c>
    </row>
    <row r="65" spans="1:4" x14ac:dyDescent="0.3">
      <c r="A65">
        <v>3</v>
      </c>
      <c r="B65">
        <v>17</v>
      </c>
      <c r="C65" t="s">
        <v>44</v>
      </c>
      <c r="D65">
        <v>126806.46</v>
      </c>
    </row>
    <row r="66" spans="1:4" x14ac:dyDescent="0.3">
      <c r="A66">
        <v>3</v>
      </c>
      <c r="B66">
        <v>18</v>
      </c>
      <c r="C66" t="s">
        <v>44</v>
      </c>
      <c r="D66">
        <v>121784.94</v>
      </c>
    </row>
    <row r="67" spans="1:4" x14ac:dyDescent="0.3">
      <c r="A67">
        <v>3</v>
      </c>
      <c r="B67">
        <v>19</v>
      </c>
      <c r="C67" t="s">
        <v>44</v>
      </c>
      <c r="D67">
        <v>118848.74</v>
      </c>
    </row>
    <row r="68" spans="1:4" x14ac:dyDescent="0.3">
      <c r="A68">
        <v>3</v>
      </c>
      <c r="B68">
        <v>20</v>
      </c>
      <c r="C68" t="s">
        <v>44</v>
      </c>
      <c r="D68">
        <v>120213.04</v>
      </c>
    </row>
    <row r="69" spans="1:4" x14ac:dyDescent="0.3">
      <c r="A69">
        <v>4</v>
      </c>
      <c r="B69">
        <v>1</v>
      </c>
      <c r="C69" t="s">
        <v>45</v>
      </c>
      <c r="D69">
        <v>85281.48</v>
      </c>
    </row>
    <row r="70" spans="1:4" x14ac:dyDescent="0.3">
      <c r="A70">
        <v>4</v>
      </c>
      <c r="B70">
        <v>2</v>
      </c>
      <c r="C70" t="s">
        <v>45</v>
      </c>
      <c r="D70">
        <v>84548.56</v>
      </c>
    </row>
    <row r="71" spans="1:4" x14ac:dyDescent="0.3">
      <c r="A71">
        <v>4</v>
      </c>
      <c r="B71">
        <v>3</v>
      </c>
      <c r="C71" t="s">
        <v>45</v>
      </c>
      <c r="D71">
        <v>82031.520000000004</v>
      </c>
    </row>
    <row r="72" spans="1:4" x14ac:dyDescent="0.3">
      <c r="A72">
        <v>4</v>
      </c>
      <c r="B72">
        <v>4</v>
      </c>
      <c r="C72" t="s">
        <v>45</v>
      </c>
      <c r="D72">
        <v>85164.1</v>
      </c>
    </row>
    <row r="73" spans="1:4" x14ac:dyDescent="0.3">
      <c r="A73">
        <v>4</v>
      </c>
      <c r="B73">
        <v>5</v>
      </c>
      <c r="C73" t="s">
        <v>45</v>
      </c>
      <c r="D73">
        <v>85766.18</v>
      </c>
    </row>
    <row r="74" spans="1:4" x14ac:dyDescent="0.3">
      <c r="A74">
        <v>4</v>
      </c>
      <c r="B74">
        <v>6</v>
      </c>
      <c r="C74" t="s">
        <v>45</v>
      </c>
      <c r="D74">
        <v>86517.38</v>
      </c>
    </row>
    <row r="75" spans="1:4" x14ac:dyDescent="0.3">
      <c r="A75">
        <v>4</v>
      </c>
      <c r="B75">
        <v>7</v>
      </c>
      <c r="C75" t="s">
        <v>45</v>
      </c>
      <c r="D75">
        <v>84800.1</v>
      </c>
    </row>
    <row r="76" spans="1:4" x14ac:dyDescent="0.3">
      <c r="A76">
        <v>4</v>
      </c>
      <c r="B76">
        <v>8</v>
      </c>
      <c r="C76" t="s">
        <v>45</v>
      </c>
      <c r="D76">
        <v>86649.42</v>
      </c>
    </row>
    <row r="77" spans="1:4" x14ac:dyDescent="0.3">
      <c r="A77">
        <v>4</v>
      </c>
      <c r="B77">
        <v>9</v>
      </c>
      <c r="C77" t="s">
        <v>45</v>
      </c>
      <c r="D77">
        <v>86027.9</v>
      </c>
    </row>
    <row r="78" spans="1:4" x14ac:dyDescent="0.3">
      <c r="A78">
        <v>4</v>
      </c>
      <c r="B78">
        <v>10</v>
      </c>
      <c r="C78" t="s">
        <v>45</v>
      </c>
      <c r="D78">
        <v>83689.179999999993</v>
      </c>
    </row>
    <row r="79" spans="1:4" x14ac:dyDescent="0.3">
      <c r="A79">
        <v>4</v>
      </c>
      <c r="B79">
        <v>11</v>
      </c>
      <c r="C79" t="s">
        <v>45</v>
      </c>
      <c r="D79">
        <v>86430.76</v>
      </c>
    </row>
    <row r="80" spans="1:4" x14ac:dyDescent="0.3">
      <c r="A80">
        <v>4</v>
      </c>
      <c r="B80">
        <v>12</v>
      </c>
      <c r="C80" t="s">
        <v>45</v>
      </c>
      <c r="D80">
        <v>84279.14</v>
      </c>
    </row>
    <row r="81" spans="1:4" x14ac:dyDescent="0.3">
      <c r="A81">
        <v>4</v>
      </c>
      <c r="B81">
        <v>13</v>
      </c>
      <c r="C81" t="s">
        <v>45</v>
      </c>
      <c r="D81">
        <v>82044.36</v>
      </c>
    </row>
    <row r="82" spans="1:4" x14ac:dyDescent="0.3">
      <c r="A82">
        <v>4</v>
      </c>
      <c r="B82">
        <v>14</v>
      </c>
      <c r="C82" t="s">
        <v>45</v>
      </c>
      <c r="D82">
        <v>84851.04</v>
      </c>
    </row>
    <row r="83" spans="1:4" x14ac:dyDescent="0.3">
      <c r="A83">
        <v>4</v>
      </c>
      <c r="B83">
        <v>15</v>
      </c>
      <c r="C83" t="s">
        <v>45</v>
      </c>
      <c r="D83">
        <v>87551.08</v>
      </c>
    </row>
    <row r="84" spans="1:4" x14ac:dyDescent="0.3">
      <c r="A84">
        <v>4</v>
      </c>
      <c r="B84">
        <v>16</v>
      </c>
      <c r="C84" t="s">
        <v>45</v>
      </c>
      <c r="D84">
        <v>86530.42</v>
      </c>
    </row>
    <row r="85" spans="1:4" x14ac:dyDescent="0.3">
      <c r="A85">
        <v>4</v>
      </c>
      <c r="B85">
        <v>17</v>
      </c>
      <c r="C85" t="s">
        <v>45</v>
      </c>
      <c r="D85">
        <v>88948.4</v>
      </c>
    </row>
    <row r="86" spans="1:4" x14ac:dyDescent="0.3">
      <c r="A86">
        <v>4</v>
      </c>
      <c r="B86">
        <v>18</v>
      </c>
      <c r="C86" t="s">
        <v>45</v>
      </c>
      <c r="D86">
        <v>83055.5</v>
      </c>
    </row>
    <row r="87" spans="1:4" x14ac:dyDescent="0.3">
      <c r="A87">
        <v>4</v>
      </c>
      <c r="B87">
        <v>19</v>
      </c>
      <c r="C87" t="s">
        <v>45</v>
      </c>
      <c r="D87">
        <v>83206.94</v>
      </c>
    </row>
    <row r="88" spans="1:4" x14ac:dyDescent="0.3">
      <c r="A88">
        <v>4</v>
      </c>
      <c r="B88">
        <v>20</v>
      </c>
      <c r="C88" t="s">
        <v>45</v>
      </c>
      <c r="D88">
        <v>86548.1</v>
      </c>
    </row>
    <row r="89" spans="1:4" x14ac:dyDescent="0.3">
      <c r="A89">
        <v>5</v>
      </c>
      <c r="B89">
        <v>1</v>
      </c>
      <c r="C89" t="s">
        <v>46</v>
      </c>
      <c r="D89">
        <v>99426.26</v>
      </c>
    </row>
    <row r="90" spans="1:4" x14ac:dyDescent="0.3">
      <c r="A90">
        <v>5</v>
      </c>
      <c r="B90">
        <v>2</v>
      </c>
      <c r="C90" t="s">
        <v>46</v>
      </c>
      <c r="D90">
        <v>97698.240000000005</v>
      </c>
    </row>
    <row r="91" spans="1:4" x14ac:dyDescent="0.3">
      <c r="A91">
        <v>5</v>
      </c>
      <c r="B91">
        <v>3</v>
      </c>
      <c r="C91" t="s">
        <v>46</v>
      </c>
      <c r="D91">
        <v>103710.86</v>
      </c>
    </row>
    <row r="92" spans="1:4" x14ac:dyDescent="0.3">
      <c r="A92">
        <v>5</v>
      </c>
      <c r="B92">
        <v>4</v>
      </c>
      <c r="C92" t="s">
        <v>46</v>
      </c>
      <c r="D92">
        <v>100604.52</v>
      </c>
    </row>
    <row r="93" spans="1:4" x14ac:dyDescent="0.3">
      <c r="A93">
        <v>5</v>
      </c>
      <c r="B93">
        <v>5</v>
      </c>
      <c r="C93" t="s">
        <v>46</v>
      </c>
      <c r="D93">
        <v>103210.58</v>
      </c>
    </row>
    <row r="94" spans="1:4" x14ac:dyDescent="0.3">
      <c r="A94">
        <v>5</v>
      </c>
      <c r="B94">
        <v>6</v>
      </c>
      <c r="C94" t="s">
        <v>46</v>
      </c>
      <c r="D94">
        <v>104734.72</v>
      </c>
    </row>
    <row r="95" spans="1:4" x14ac:dyDescent="0.3">
      <c r="A95">
        <v>5</v>
      </c>
      <c r="B95">
        <v>7</v>
      </c>
      <c r="C95" t="s">
        <v>46</v>
      </c>
      <c r="D95">
        <v>103718.64</v>
      </c>
    </row>
    <row r="96" spans="1:4" x14ac:dyDescent="0.3">
      <c r="A96">
        <v>5</v>
      </c>
      <c r="B96">
        <v>8</v>
      </c>
      <c r="C96" t="s">
        <v>46</v>
      </c>
      <c r="D96">
        <v>103218.18</v>
      </c>
    </row>
    <row r="97" spans="1:4" x14ac:dyDescent="0.3">
      <c r="A97">
        <v>5</v>
      </c>
      <c r="B97">
        <v>9</v>
      </c>
      <c r="C97" t="s">
        <v>46</v>
      </c>
      <c r="D97">
        <v>102410.28</v>
      </c>
    </row>
    <row r="98" spans="1:4" x14ac:dyDescent="0.3">
      <c r="A98">
        <v>5</v>
      </c>
      <c r="B98">
        <v>10</v>
      </c>
      <c r="C98" t="s">
        <v>46</v>
      </c>
      <c r="D98">
        <v>105153.54</v>
      </c>
    </row>
    <row r="99" spans="1:4" x14ac:dyDescent="0.3">
      <c r="A99">
        <v>5</v>
      </c>
      <c r="B99">
        <v>11</v>
      </c>
      <c r="C99" t="s">
        <v>46</v>
      </c>
      <c r="D99">
        <v>102796.02</v>
      </c>
    </row>
    <row r="100" spans="1:4" x14ac:dyDescent="0.3">
      <c r="A100">
        <v>5</v>
      </c>
      <c r="B100">
        <v>12</v>
      </c>
      <c r="C100" t="s">
        <v>46</v>
      </c>
      <c r="D100">
        <v>101619.8</v>
      </c>
    </row>
    <row r="101" spans="1:4" x14ac:dyDescent="0.3">
      <c r="A101">
        <v>5</v>
      </c>
      <c r="B101">
        <v>13</v>
      </c>
      <c r="C101" t="s">
        <v>46</v>
      </c>
      <c r="D101">
        <v>100108.14</v>
      </c>
    </row>
    <row r="102" spans="1:4" x14ac:dyDescent="0.3">
      <c r="A102">
        <v>5</v>
      </c>
      <c r="B102">
        <v>14</v>
      </c>
      <c r="C102" t="s">
        <v>46</v>
      </c>
      <c r="D102">
        <v>102184.32000000001</v>
      </c>
    </row>
    <row r="103" spans="1:4" x14ac:dyDescent="0.3">
      <c r="A103">
        <v>5</v>
      </c>
      <c r="B103">
        <v>15</v>
      </c>
      <c r="C103" t="s">
        <v>46</v>
      </c>
      <c r="D103">
        <v>104885.96</v>
      </c>
    </row>
    <row r="104" spans="1:4" x14ac:dyDescent="0.3">
      <c r="A104">
        <v>5</v>
      </c>
      <c r="B104">
        <v>16</v>
      </c>
      <c r="C104" t="s">
        <v>46</v>
      </c>
      <c r="D104">
        <v>99297.600000000006</v>
      </c>
    </row>
    <row r="105" spans="1:4" x14ac:dyDescent="0.3">
      <c r="A105">
        <v>5</v>
      </c>
      <c r="B105">
        <v>17</v>
      </c>
      <c r="C105" t="s">
        <v>46</v>
      </c>
      <c r="D105">
        <v>100988.18</v>
      </c>
    </row>
    <row r="106" spans="1:4" x14ac:dyDescent="0.3">
      <c r="A106">
        <v>5</v>
      </c>
      <c r="B106">
        <v>18</v>
      </c>
      <c r="C106" t="s">
        <v>46</v>
      </c>
      <c r="D106">
        <v>101836.32</v>
      </c>
    </row>
    <row r="107" spans="1:4" x14ac:dyDescent="0.3">
      <c r="A107">
        <v>5</v>
      </c>
      <c r="B107">
        <v>19</v>
      </c>
      <c r="C107" t="s">
        <v>46</v>
      </c>
      <c r="D107">
        <v>101269.44</v>
      </c>
    </row>
    <row r="108" spans="1:4" x14ac:dyDescent="0.3">
      <c r="A108">
        <v>5</v>
      </c>
      <c r="B108">
        <v>20</v>
      </c>
      <c r="C108" t="s">
        <v>46</v>
      </c>
      <c r="D108">
        <v>99868.14</v>
      </c>
    </row>
  </sheetData>
  <autoFilter ref="A8:D8" xr:uid="{A16499B4-DBD5-41DB-A0F4-C2BE6E90B59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45B32-585C-45FC-B4ED-E4A37B381D82}">
  <dimension ref="A1:I23"/>
  <sheetViews>
    <sheetView tabSelected="1" workbookViewId="0">
      <selection activeCell="C32" sqref="C32"/>
    </sheetView>
  </sheetViews>
  <sheetFormatPr defaultRowHeight="14.4" x14ac:dyDescent="0.3"/>
  <cols>
    <col min="1" max="1" width="17.44140625" customWidth="1"/>
    <col min="2" max="2" width="17.21875" customWidth="1"/>
    <col min="3" max="3" width="19.21875" customWidth="1"/>
    <col min="4" max="4" width="17.77734375" customWidth="1"/>
    <col min="9" max="9" width="27.44140625" customWidth="1"/>
  </cols>
  <sheetData>
    <row r="1" spans="1:9" ht="15" thickBot="1" x14ac:dyDescent="0.35"/>
    <row r="2" spans="1:9" ht="15" thickBot="1" x14ac:dyDescent="0.35">
      <c r="A2" s="5" t="s">
        <v>51</v>
      </c>
      <c r="B2" s="6" t="s">
        <v>52</v>
      </c>
      <c r="C2" s="5" t="s">
        <v>53</v>
      </c>
      <c r="D2" s="5" t="s">
        <v>5</v>
      </c>
      <c r="E2" s="5" t="s">
        <v>6</v>
      </c>
      <c r="F2" s="5" t="s">
        <v>8</v>
      </c>
      <c r="G2" s="5" t="s">
        <v>9</v>
      </c>
      <c r="H2" s="5" t="s">
        <v>11</v>
      </c>
      <c r="I2" s="5" t="s">
        <v>56</v>
      </c>
    </row>
    <row r="3" spans="1:9" x14ac:dyDescent="0.3">
      <c r="A3" s="7">
        <v>5</v>
      </c>
      <c r="B3" s="8">
        <v>1</v>
      </c>
      <c r="C3" s="9" t="s">
        <v>7</v>
      </c>
      <c r="D3" s="10">
        <v>0.85</v>
      </c>
      <c r="E3" s="11">
        <v>45394.6</v>
      </c>
      <c r="F3" s="11">
        <v>52999.4</v>
      </c>
      <c r="G3" s="11">
        <v>48766.75882352941</v>
      </c>
      <c r="H3" s="11">
        <v>2102.8415814178206</v>
      </c>
      <c r="I3" s="12">
        <v>4.3120388398730801E-2</v>
      </c>
    </row>
    <row r="4" spans="1:9" x14ac:dyDescent="0.3">
      <c r="A4" s="13"/>
      <c r="B4" s="14">
        <v>2</v>
      </c>
      <c r="C4" s="15" t="s">
        <v>7</v>
      </c>
      <c r="D4" s="16">
        <v>1</v>
      </c>
      <c r="E4" s="17">
        <v>63743.199999999997</v>
      </c>
      <c r="F4" s="17">
        <v>73912.2</v>
      </c>
      <c r="G4" s="17">
        <v>67741.235000000001</v>
      </c>
      <c r="H4" s="17">
        <v>2799.660444460184</v>
      </c>
      <c r="I4" s="18">
        <v>4.1328748205729994E-2</v>
      </c>
    </row>
    <row r="5" spans="1:9" x14ac:dyDescent="0.3">
      <c r="A5" s="13"/>
      <c r="B5" s="14">
        <v>3</v>
      </c>
      <c r="C5" s="15" t="s">
        <v>10</v>
      </c>
      <c r="D5" s="16">
        <v>1</v>
      </c>
      <c r="E5" s="17">
        <v>48090.2</v>
      </c>
      <c r="F5" s="17">
        <v>61003.4</v>
      </c>
      <c r="G5" s="17">
        <v>54570.910000000011</v>
      </c>
      <c r="H5" s="17">
        <v>3613.5540507788173</v>
      </c>
      <c r="I5" s="18">
        <v>6.6217588286118317E-2</v>
      </c>
    </row>
    <row r="6" spans="1:9" x14ac:dyDescent="0.3">
      <c r="A6" s="13"/>
      <c r="B6" s="14">
        <v>4</v>
      </c>
      <c r="C6" s="15" t="s">
        <v>12</v>
      </c>
      <c r="D6" s="16">
        <v>0.95</v>
      </c>
      <c r="E6" s="17">
        <v>60801.7</v>
      </c>
      <c r="F6" s="17">
        <v>67102.8</v>
      </c>
      <c r="G6" s="17">
        <v>63310.178947368426</v>
      </c>
      <c r="H6" s="17">
        <v>1923.9861520398215</v>
      </c>
      <c r="I6" s="18">
        <v>3.0389839106903908E-2</v>
      </c>
    </row>
    <row r="7" spans="1:9" ht="15" thickBot="1" x14ac:dyDescent="0.35">
      <c r="A7" s="19"/>
      <c r="B7" s="20">
        <v>5</v>
      </c>
      <c r="C7" s="21" t="s">
        <v>14</v>
      </c>
      <c r="D7" s="22">
        <v>1</v>
      </c>
      <c r="E7" s="23">
        <v>30025.9</v>
      </c>
      <c r="F7" s="23">
        <v>38614.5</v>
      </c>
      <c r="G7" s="23">
        <v>34494.574999999997</v>
      </c>
      <c r="H7" s="23">
        <v>2235.7290864223683</v>
      </c>
      <c r="I7" s="24">
        <v>6.481393339162371E-2</v>
      </c>
    </row>
    <row r="8" spans="1:9" x14ac:dyDescent="0.3">
      <c r="A8" s="7">
        <v>6</v>
      </c>
      <c r="B8" s="8">
        <v>1</v>
      </c>
      <c r="C8" s="9" t="s">
        <v>21</v>
      </c>
      <c r="D8" s="10">
        <v>1</v>
      </c>
      <c r="E8" s="11">
        <v>75684.55</v>
      </c>
      <c r="F8" s="11">
        <v>84682.725000000006</v>
      </c>
      <c r="G8" s="11">
        <v>81091.91</v>
      </c>
      <c r="H8" s="11">
        <v>2234.1004828901491</v>
      </c>
      <c r="I8" s="12">
        <v>2.7550226439236034E-2</v>
      </c>
    </row>
    <row r="9" spans="1:9" x14ac:dyDescent="0.3">
      <c r="A9" s="13"/>
      <c r="B9" s="14">
        <v>2</v>
      </c>
      <c r="C9" s="15" t="s">
        <v>22</v>
      </c>
      <c r="D9" s="16">
        <v>1</v>
      </c>
      <c r="E9" s="17">
        <v>69815.375</v>
      </c>
      <c r="F9" s="17">
        <v>76990.175000000003</v>
      </c>
      <c r="G9" s="17">
        <v>72750.158750000031</v>
      </c>
      <c r="H9" s="17">
        <v>1583.6539556764569</v>
      </c>
      <c r="I9" s="18">
        <v>2.1768391751811212E-2</v>
      </c>
    </row>
    <row r="10" spans="1:9" x14ac:dyDescent="0.3">
      <c r="A10" s="13"/>
      <c r="B10" s="14">
        <v>3</v>
      </c>
      <c r="C10" s="15" t="s">
        <v>23</v>
      </c>
      <c r="D10" s="16">
        <v>1</v>
      </c>
      <c r="E10" s="17">
        <v>51372.175000000003</v>
      </c>
      <c r="F10" s="17">
        <v>60067.3</v>
      </c>
      <c r="G10" s="17">
        <v>55072.05</v>
      </c>
      <c r="H10" s="17">
        <v>2306.2562792461945</v>
      </c>
      <c r="I10" s="18">
        <v>4.1877073383798029E-2</v>
      </c>
    </row>
    <row r="11" spans="1:9" x14ac:dyDescent="0.3">
      <c r="A11" s="13"/>
      <c r="B11" s="14"/>
      <c r="C11" s="15" t="s">
        <v>54</v>
      </c>
      <c r="D11" s="16">
        <v>0.75</v>
      </c>
      <c r="E11" s="17">
        <v>95343.274999999994</v>
      </c>
      <c r="F11" s="17">
        <v>97231.175000000003</v>
      </c>
      <c r="G11" s="17">
        <v>96185.675000000003</v>
      </c>
      <c r="H11" s="17">
        <v>832.51014652225228</v>
      </c>
      <c r="I11" s="18">
        <v>8.6552404661323235E-3</v>
      </c>
    </row>
    <row r="12" spans="1:9" ht="15" thickBot="1" x14ac:dyDescent="0.35">
      <c r="A12" s="19"/>
      <c r="B12" s="20">
        <v>5</v>
      </c>
      <c r="C12" s="21" t="s">
        <v>25</v>
      </c>
      <c r="D12" s="22">
        <v>1</v>
      </c>
      <c r="E12" s="23">
        <v>62144.35</v>
      </c>
      <c r="F12" s="23">
        <v>67965.05</v>
      </c>
      <c r="G12" s="23">
        <v>65136.614999999991</v>
      </c>
      <c r="H12" s="23">
        <v>1482.7654545729752</v>
      </c>
      <c r="I12" s="24">
        <v>2.276393169299595E-2</v>
      </c>
    </row>
    <row r="13" spans="1:9" x14ac:dyDescent="0.3">
      <c r="A13" s="7">
        <v>7</v>
      </c>
      <c r="B13" s="8">
        <v>1</v>
      </c>
      <c r="C13" s="9" t="s">
        <v>29</v>
      </c>
      <c r="D13" s="10">
        <v>0.6</v>
      </c>
      <c r="E13" s="11">
        <v>70335.740000000005</v>
      </c>
      <c r="F13" s="11">
        <v>74523.88</v>
      </c>
      <c r="G13" s="11">
        <v>72547.959999999992</v>
      </c>
      <c r="H13" s="11">
        <v>1309.9885541739147</v>
      </c>
      <c r="I13" s="12">
        <v>1.8056862717765115E-2</v>
      </c>
    </row>
    <row r="14" spans="1:9" x14ac:dyDescent="0.3">
      <c r="A14" s="13"/>
      <c r="B14" s="14">
        <v>2</v>
      </c>
      <c r="C14" s="15" t="s">
        <v>30</v>
      </c>
      <c r="D14" s="16">
        <v>1</v>
      </c>
      <c r="E14" s="17">
        <v>79004.06</v>
      </c>
      <c r="F14" s="17">
        <v>87758.96</v>
      </c>
      <c r="G14" s="17">
        <v>82751.536999999982</v>
      </c>
      <c r="H14" s="17">
        <v>2152.4089483299872</v>
      </c>
      <c r="I14" s="18">
        <v>2.6010501150328939E-2</v>
      </c>
    </row>
    <row r="15" spans="1:9" x14ac:dyDescent="0.3">
      <c r="A15" s="13"/>
      <c r="B15" s="14">
        <v>3</v>
      </c>
      <c r="C15" s="15" t="s">
        <v>31</v>
      </c>
      <c r="D15" s="16">
        <v>0.45</v>
      </c>
      <c r="E15" s="17">
        <v>105259.12</v>
      </c>
      <c r="F15" s="17">
        <v>108962.26</v>
      </c>
      <c r="G15" s="17">
        <v>107361.6311111111</v>
      </c>
      <c r="H15" s="17">
        <v>986.02506811095316</v>
      </c>
      <c r="I15" s="18">
        <v>9.1841476131309177E-3</v>
      </c>
    </row>
    <row r="16" spans="1:9" x14ac:dyDescent="0.3">
      <c r="A16" s="13"/>
      <c r="B16" s="14">
        <v>4</v>
      </c>
      <c r="C16" s="15" t="s">
        <v>32</v>
      </c>
      <c r="D16" s="16">
        <v>1</v>
      </c>
      <c r="E16" s="17">
        <v>74768.62</v>
      </c>
      <c r="F16" s="17">
        <v>80101.06</v>
      </c>
      <c r="G16" s="17">
        <v>77224.100999999995</v>
      </c>
      <c r="H16" s="17">
        <v>1540.4186095665668</v>
      </c>
      <c r="I16" s="18">
        <v>1.9947381576725209E-2</v>
      </c>
    </row>
    <row r="17" spans="1:9" ht="15" thickBot="1" x14ac:dyDescent="0.35">
      <c r="A17" s="19"/>
      <c r="B17" s="20">
        <v>5</v>
      </c>
      <c r="C17" s="21" t="s">
        <v>33</v>
      </c>
      <c r="D17" s="22">
        <v>0.75</v>
      </c>
      <c r="E17" s="23">
        <v>67156.600000000006</v>
      </c>
      <c r="F17" s="23">
        <v>74284.820000000007</v>
      </c>
      <c r="G17" s="23">
        <v>71030.753333333327</v>
      </c>
      <c r="H17" s="23">
        <v>1530.2008246704825</v>
      </c>
      <c r="I17" s="24">
        <v>2.1542793126373749E-2</v>
      </c>
    </row>
    <row r="18" spans="1:9" x14ac:dyDescent="0.3">
      <c r="A18" s="7">
        <v>8</v>
      </c>
      <c r="B18" s="25">
        <v>1</v>
      </c>
      <c r="C18" s="9" t="s">
        <v>42</v>
      </c>
      <c r="D18" s="10">
        <v>0.95</v>
      </c>
      <c r="E18" s="11">
        <v>80100.44</v>
      </c>
      <c r="F18" s="11">
        <v>86188.58</v>
      </c>
      <c r="G18" s="11">
        <v>83986.447368421039</v>
      </c>
      <c r="H18" s="11">
        <v>1409.0291397563594</v>
      </c>
      <c r="I18" s="12">
        <v>1.6776863219078789E-2</v>
      </c>
    </row>
    <row r="19" spans="1:9" x14ac:dyDescent="0.3">
      <c r="A19" s="13"/>
      <c r="B19" s="26">
        <v>2</v>
      </c>
      <c r="C19" s="15" t="s">
        <v>48</v>
      </c>
      <c r="D19" s="16">
        <v>0.55000000000000004</v>
      </c>
      <c r="E19" s="17">
        <v>100529.08</v>
      </c>
      <c r="F19" s="17">
        <v>104460.64</v>
      </c>
      <c r="G19" s="17">
        <v>102567.83454545456</v>
      </c>
      <c r="H19" s="17">
        <v>1196.4420919646682</v>
      </c>
      <c r="I19" s="18">
        <v>1.166488594857139E-2</v>
      </c>
    </row>
    <row r="20" spans="1:9" x14ac:dyDescent="0.3">
      <c r="A20" s="13"/>
      <c r="B20" s="14">
        <v>3</v>
      </c>
      <c r="C20" s="15" t="s">
        <v>44</v>
      </c>
      <c r="D20" s="16">
        <v>1</v>
      </c>
      <c r="E20" s="17">
        <v>116516.76</v>
      </c>
      <c r="F20" s="17">
        <v>126806.46</v>
      </c>
      <c r="G20" s="17">
        <v>121310.33100000001</v>
      </c>
      <c r="H20" s="17">
        <v>2286.0146672799369</v>
      </c>
      <c r="I20" s="18">
        <v>1.8844352731012967E-2</v>
      </c>
    </row>
    <row r="21" spans="1:9" x14ac:dyDescent="0.3">
      <c r="A21" s="13"/>
      <c r="B21" s="14">
        <v>4</v>
      </c>
      <c r="C21" s="15" t="s">
        <v>45</v>
      </c>
      <c r="D21" s="16">
        <v>1</v>
      </c>
      <c r="E21" s="17">
        <v>82031.520000000004</v>
      </c>
      <c r="F21" s="17">
        <v>88948.4</v>
      </c>
      <c r="G21" s="17">
        <v>85196.078000000009</v>
      </c>
      <c r="H21" s="17">
        <v>1759.7623811628653</v>
      </c>
      <c r="I21" s="18">
        <v>2.0655438870822964E-2</v>
      </c>
    </row>
    <row r="22" spans="1:9" ht="15" thickBot="1" x14ac:dyDescent="0.35">
      <c r="A22" s="19"/>
      <c r="B22" s="20">
        <v>5</v>
      </c>
      <c r="C22" s="21" t="s">
        <v>46</v>
      </c>
      <c r="D22" s="22">
        <v>1</v>
      </c>
      <c r="E22" s="23">
        <v>97698.240000000005</v>
      </c>
      <c r="F22" s="23">
        <v>105153.54</v>
      </c>
      <c r="G22" s="23">
        <v>101936.98699999999</v>
      </c>
      <c r="H22" s="23">
        <v>1994.6359641626332</v>
      </c>
      <c r="I22" s="24">
        <v>1.9567342756193425E-2</v>
      </c>
    </row>
    <row r="23" spans="1:9" ht="15" thickBot="1" x14ac:dyDescent="0.35">
      <c r="A23" s="27" t="s">
        <v>55</v>
      </c>
      <c r="B23" s="28"/>
      <c r="C23" s="28"/>
      <c r="D23" s="29">
        <f>AVERAGE(D3:D22)</f>
        <v>0.89250000000000007</v>
      </c>
      <c r="E23" s="28"/>
      <c r="F23" s="28"/>
      <c r="G23" s="28"/>
      <c r="H23" s="28"/>
      <c r="I23" s="29">
        <f>AVERAGE(I3:I22)</f>
        <v>2.7536796541654189E-2</v>
      </c>
    </row>
  </sheetData>
  <mergeCells count="4">
    <mergeCell ref="A3:A7"/>
    <mergeCell ref="A8:A12"/>
    <mergeCell ref="A13:A17"/>
    <mergeCell ref="A18:A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J_5</vt:lpstr>
      <vt:lpstr>J_6</vt:lpstr>
      <vt:lpstr>J_7</vt:lpstr>
      <vt:lpstr>J_8</vt:lpstr>
      <vt:lpstr>Statistical robutness SAA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Chathurika Srimali Gunasekara Ekanayaka Mudiyanselage</dc:creator>
  <cp:lastModifiedBy>Chathurika Srimali Gunasekara Ekanayaka Mudiyanselage </cp:lastModifiedBy>
  <dcterms:created xsi:type="dcterms:W3CDTF">2015-06-05T18:17:20Z</dcterms:created>
  <dcterms:modified xsi:type="dcterms:W3CDTF">2026-06-22T04:44:57Z</dcterms:modified>
</cp:coreProperties>
</file>