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013403_student_curtin_edu_au/Documents/PhD/SOLVING EXAMPLE/NEW INSTANCES/IJOC Results/"/>
    </mc:Choice>
  </mc:AlternateContent>
  <xr:revisionPtr revIDLastSave="46" documentId="11_F25DC773A252ABDACC1048F6B95856985BDE5916" xr6:coauthVersionLast="47" xr6:coauthVersionMax="47" xr10:uidLastSave="{D1F343AB-3FA9-4042-B667-C1D96759F2A2}"/>
  <bookViews>
    <workbookView xWindow="16632" yWindow="240" windowWidth="16176" windowHeight="15516" activeTab="1" xr2:uid="{00000000-000D-0000-FFFF-FFFF00000000}"/>
  </bookViews>
  <sheets>
    <sheet name="Computational time" sheetId="1" r:id="rId1"/>
    <sheet name="Optimality gap" sheetId="2" r:id="rId2"/>
    <sheet name="Impact of cluste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3" l="1"/>
  <c r="C62" i="3"/>
  <c r="D56" i="3"/>
  <c r="C56" i="3"/>
  <c r="D46" i="3"/>
  <c r="C46" i="3"/>
  <c r="D40" i="3"/>
  <c r="C40" i="3"/>
  <c r="D30" i="3"/>
  <c r="C30" i="3"/>
  <c r="D24" i="3"/>
  <c r="C24" i="3"/>
  <c r="D14" i="3"/>
  <c r="C14" i="3"/>
  <c r="D8" i="3"/>
  <c r="C8" i="3"/>
</calcChain>
</file>

<file path=xl/sharedStrings.xml><?xml version="1.0" encoding="utf-8"?>
<sst xmlns="http://schemas.openxmlformats.org/spreadsheetml/2006/main" count="274" uniqueCount="45">
  <si>
    <t>L-shaped</t>
  </si>
  <si>
    <t>Greedy+SAA</t>
  </si>
  <si>
    <t>Greedy+clustered SAA</t>
  </si>
  <si>
    <t>Greedy+proxy</t>
  </si>
  <si>
    <t>Greedy+proxy+SAA</t>
  </si>
  <si>
    <t>Greedy+proxy+clustered SAA</t>
  </si>
  <si>
    <t>Problem size</t>
  </si>
  <si>
    <t>Method</t>
  </si>
  <si>
    <t>Instance</t>
  </si>
  <si>
    <t>Problem Size</t>
  </si>
  <si>
    <t>Best solution (x)</t>
  </si>
  <si>
    <t>True Obj.Value (Q(x))</t>
  </si>
  <si>
    <t>Optimal Obj. Value (Q(x*))</t>
  </si>
  <si>
    <t>(0, 1, 1, 1, 1)</t>
  </si>
  <si>
    <t>(1, 1, 0, 1, 0)</t>
  </si>
  <si>
    <t>(1, 1, 0, 0, 1)</t>
  </si>
  <si>
    <t>(1, 1, 1, 0, 1)</t>
  </si>
  <si>
    <t>(0, 0, 1, 1, 0, 1)</t>
  </si>
  <si>
    <t>(0, 1, 1, 1, 0, 0)</t>
  </si>
  <si>
    <t>(1, 1, 1, 0, 1, 1)</t>
  </si>
  <si>
    <t>(0, 1, 0, 0, 0, 0)</t>
  </si>
  <si>
    <t>(1, 0, 0, 1, 1, 0)</t>
  </si>
  <si>
    <t>[1, 0, 1, 1, 1, 1, 0]</t>
  </si>
  <si>
    <t>(1, 0, 0, 1, 0, 1, 1)</t>
  </si>
  <si>
    <t>(0, 0, 0, 1, 0, 1, 0)</t>
  </si>
  <si>
    <t>(0, 1, 0, 1, 1, 1, 1)</t>
  </si>
  <si>
    <t>[1, 1, 0, 0, 1, 0, 0]</t>
  </si>
  <si>
    <t>(0, 0, 1, 0, 1, 1, 1, 0)</t>
  </si>
  <si>
    <t>[0, 0, 1, 1, 0, 0, 0, 1]</t>
  </si>
  <si>
    <t>[0, 1, 1, 1, 0, 0, 0, 1]</t>
  </si>
  <si>
    <t>(0, 0, 1, 0, 1, 1, 0, 0)</t>
  </si>
  <si>
    <t>(0, 0, 0, 1, 0, 0, 1, 1)</t>
  </si>
  <si>
    <t>(1, 1, 1, 0, 1, 1, 1, 0)</t>
  </si>
  <si>
    <t>J=5</t>
  </si>
  <si>
    <t>Distinct second stage models</t>
  </si>
  <si>
    <t>Scheduling time S2</t>
  </si>
  <si>
    <t>Average No. of second-stage models without clustering (Greedy+SAA)</t>
  </si>
  <si>
    <t>Average No. of second-stage models with clustering (Greedy+clustered SAA)</t>
  </si>
  <si>
    <t>Second-stage scheduling time without clustering (Greedy+SAA)</t>
  </si>
  <si>
    <t>Second-stage scheduling time with clustering (Greedy+clustered+SAA)</t>
  </si>
  <si>
    <t>Average</t>
  </si>
  <si>
    <t>J=6</t>
  </si>
  <si>
    <t>Distict second stage models</t>
  </si>
  <si>
    <t>J=7</t>
  </si>
  <si>
    <t>J=8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</si>
</sst>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1" fillId="0" borderId="2" xfId="0" applyFont="1" applyBorder="1"/>
    <xf numFmtId="1" fontId="0" fillId="0" borderId="2" xfId="0" applyNumberFormat="1" applyBorder="1"/>
    <xf numFmtId="0" fontId="1" fillId="0" borderId="3" xfId="0" applyFont="1" applyBorder="1"/>
    <xf numFmtId="1" fontId="0" fillId="0" borderId="3" xfId="0" applyNumberForma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164" fontId="0" fillId="0" borderId="2" xfId="0" applyNumberFormat="1" applyBorder="1"/>
    <xf numFmtId="0" fontId="2" fillId="0" borderId="2" xfId="0" applyFont="1" applyBorder="1"/>
    <xf numFmtId="164" fontId="0" fillId="0" borderId="3" xfId="0" applyNumberFormat="1" applyBorder="1"/>
    <xf numFmtId="0" fontId="1" fillId="0" borderId="9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10" xfId="0" applyFont="1" applyBorder="1" applyAlignment="1">
      <alignment horizontal="center"/>
    </xf>
    <xf numFmtId="0" fontId="0" fillId="0" borderId="11" xfId="0" applyBorder="1"/>
    <xf numFmtId="164" fontId="0" fillId="0" borderId="12" xfId="0" applyNumberFormat="1" applyBorder="1"/>
    <xf numFmtId="164" fontId="0" fillId="0" borderId="0" xfId="0" applyNumberFormat="1"/>
    <xf numFmtId="0" fontId="1" fillId="0" borderId="13" xfId="0" applyFont="1" applyBorder="1"/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1" fillId="0" borderId="16" xfId="0" applyFont="1" applyBorder="1" applyAlignment="1">
      <alignment horizontal="center"/>
    </xf>
    <xf numFmtId="0" fontId="0" fillId="0" borderId="17" xfId="0" applyBorder="1"/>
    <xf numFmtId="164" fontId="0" fillId="0" borderId="18" xfId="0" applyNumberFormat="1" applyBorder="1"/>
    <xf numFmtId="0" fontId="1" fillId="0" borderId="19" xfId="0" applyFont="1" applyBorder="1"/>
    <xf numFmtId="1" fontId="0" fillId="0" borderId="19" xfId="0" applyNumberFormat="1" applyBorder="1"/>
    <xf numFmtId="1" fontId="0" fillId="0" borderId="20" xfId="0" applyNumberFormat="1" applyBorder="1"/>
    <xf numFmtId="1" fontId="0" fillId="0" borderId="21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1" fillId="0" borderId="22" xfId="0" applyFon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0" fontId="0" fillId="0" borderId="9" xfId="0" applyBorder="1"/>
    <xf numFmtId="164" fontId="0" fillId="0" borderId="25" xfId="0" applyNumberFormat="1" applyBorder="1"/>
    <xf numFmtId="0" fontId="1" fillId="0" borderId="23" xfId="0" applyFont="1" applyBorder="1" applyAlignment="1">
      <alignment horizontal="center"/>
    </xf>
    <xf numFmtId="0" fontId="1" fillId="0" borderId="26" xfId="0" applyFont="1" applyBorder="1"/>
    <xf numFmtId="1" fontId="0" fillId="0" borderId="27" xfId="0" applyNumberFormat="1" applyBorder="1"/>
    <xf numFmtId="164" fontId="0" fillId="0" borderId="28" xfId="0" applyNumberFormat="1" applyBorder="1"/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 applyAlignment="1">
      <alignment horizontal="center"/>
    </xf>
    <xf numFmtId="0" fontId="0" fillId="0" borderId="34" xfId="0" applyBorder="1"/>
    <xf numFmtId="164" fontId="0" fillId="0" borderId="35" xfId="0" applyNumberForma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K23" sqref="K23"/>
    </sheetView>
  </sheetViews>
  <sheetFormatPr defaultRowHeight="14.4" x14ac:dyDescent="0.3"/>
  <cols>
    <col min="1" max="1" width="13.88671875" customWidth="1"/>
    <col min="2" max="2" width="18.44140625" customWidth="1"/>
  </cols>
  <sheetData>
    <row r="1" spans="1:7" ht="15" thickBot="1" x14ac:dyDescent="0.35"/>
    <row r="2" spans="1:7" ht="15" thickBot="1" x14ac:dyDescent="0.35">
      <c r="C2" s="8" t="s">
        <v>8</v>
      </c>
      <c r="D2" s="9"/>
      <c r="E2" s="9"/>
      <c r="F2" s="9"/>
      <c r="G2" s="10"/>
    </row>
    <row r="3" spans="1:7" ht="15" thickBot="1" x14ac:dyDescent="0.35">
      <c r="A3" s="12" t="s">
        <v>6</v>
      </c>
      <c r="B3" s="1" t="s">
        <v>7</v>
      </c>
      <c r="C3" s="3">
        <v>1</v>
      </c>
      <c r="D3" s="3">
        <v>2</v>
      </c>
      <c r="E3" s="3">
        <v>3</v>
      </c>
      <c r="F3" s="3">
        <v>4</v>
      </c>
      <c r="G3" s="7">
        <v>5</v>
      </c>
    </row>
    <row r="4" spans="1:7" x14ac:dyDescent="0.3">
      <c r="A4" s="13">
        <v>5</v>
      </c>
      <c r="B4" s="1" t="s">
        <v>0</v>
      </c>
      <c r="C4" s="2">
        <v>96.84</v>
      </c>
      <c r="D4" s="2">
        <v>126.87</v>
      </c>
      <c r="E4" s="2">
        <v>117.67</v>
      </c>
      <c r="F4" s="2">
        <v>60.99</v>
      </c>
      <c r="G4" s="2">
        <v>132.52000000000001</v>
      </c>
    </row>
    <row r="5" spans="1:7" x14ac:dyDescent="0.3">
      <c r="A5" s="14"/>
      <c r="B5" s="3" t="s">
        <v>1</v>
      </c>
      <c r="C5" s="4">
        <v>834.39778000000001</v>
      </c>
      <c r="D5" s="4">
        <v>1066.4970000000001</v>
      </c>
      <c r="E5" s="4">
        <v>205.837718</v>
      </c>
      <c r="F5" s="4">
        <v>244.18049999999999</v>
      </c>
      <c r="G5" s="4">
        <v>1179.5716059199999</v>
      </c>
    </row>
    <row r="6" spans="1:7" x14ac:dyDescent="0.3">
      <c r="A6" s="14"/>
      <c r="B6" s="3" t="s">
        <v>2</v>
      </c>
      <c r="C6" s="4">
        <v>391.82876599999997</v>
      </c>
      <c r="D6" s="4">
        <v>677.02892999999995</v>
      </c>
      <c r="E6" s="4">
        <v>125.681397438049</v>
      </c>
      <c r="F6" s="4">
        <v>98.0073881</v>
      </c>
      <c r="G6" s="4">
        <v>497.55430999999999</v>
      </c>
    </row>
    <row r="7" spans="1:7" x14ac:dyDescent="0.3">
      <c r="A7" s="14"/>
      <c r="B7" s="3" t="s">
        <v>3</v>
      </c>
      <c r="C7" s="4">
        <v>46.72495</v>
      </c>
      <c r="D7" s="4">
        <v>110.544588</v>
      </c>
      <c r="E7" s="4">
        <v>54.17998</v>
      </c>
      <c r="F7" s="4">
        <v>58.986510000000003</v>
      </c>
      <c r="G7" s="4">
        <v>75.652493000000007</v>
      </c>
    </row>
    <row r="8" spans="1:7" x14ac:dyDescent="0.3">
      <c r="A8" s="14"/>
      <c r="B8" s="3" t="s">
        <v>4</v>
      </c>
      <c r="C8" s="4">
        <v>71.457954099999995</v>
      </c>
      <c r="D8" s="4">
        <v>131.4556</v>
      </c>
      <c r="E8" s="4">
        <v>47.665159463882397</v>
      </c>
      <c r="F8" s="4">
        <v>45.086892604827803</v>
      </c>
      <c r="G8" s="4">
        <v>112.607889</v>
      </c>
    </row>
    <row r="9" spans="1:7" ht="15" thickBot="1" x14ac:dyDescent="0.35">
      <c r="A9" s="15"/>
      <c r="B9" s="5" t="s">
        <v>5</v>
      </c>
      <c r="C9" s="4">
        <v>122.87465</v>
      </c>
      <c r="D9" s="4">
        <v>239.02227679999999</v>
      </c>
      <c r="E9" s="4">
        <v>109.05976800000001</v>
      </c>
      <c r="F9" s="4">
        <v>64.686155999999997</v>
      </c>
      <c r="G9" s="4">
        <v>155.00316619873001</v>
      </c>
    </row>
    <row r="10" spans="1:7" x14ac:dyDescent="0.3">
      <c r="A10" s="13">
        <v>6</v>
      </c>
      <c r="B10" s="1" t="s">
        <v>0</v>
      </c>
      <c r="C10" s="2">
        <v>477.66</v>
      </c>
      <c r="D10" s="2">
        <v>152.22</v>
      </c>
      <c r="E10" s="2">
        <v>458.7</v>
      </c>
      <c r="F10" s="2">
        <v>398.28</v>
      </c>
      <c r="G10" s="2">
        <v>310.89999999999998</v>
      </c>
    </row>
    <row r="11" spans="1:7" x14ac:dyDescent="0.3">
      <c r="A11" s="14"/>
      <c r="B11" s="3" t="s">
        <v>1</v>
      </c>
      <c r="C11" s="4">
        <v>566.86202000000003</v>
      </c>
      <c r="D11" s="4">
        <v>577.90520000000004</v>
      </c>
      <c r="E11" s="4">
        <v>1526.3972000000001</v>
      </c>
      <c r="F11" s="4">
        <v>728.98101199999996</v>
      </c>
      <c r="G11" s="4">
        <v>1097.31403</v>
      </c>
    </row>
    <row r="12" spans="1:7" x14ac:dyDescent="0.3">
      <c r="A12" s="14"/>
      <c r="B12" s="3" t="s">
        <v>2</v>
      </c>
      <c r="C12" s="4">
        <v>297.06279999999998</v>
      </c>
      <c r="D12" s="4">
        <v>495.48574000000002</v>
      </c>
      <c r="E12" s="4">
        <v>998.62349700000004</v>
      </c>
      <c r="F12" s="4">
        <v>768.22348999999997</v>
      </c>
      <c r="G12" s="4">
        <v>669.38597700000003</v>
      </c>
    </row>
    <row r="13" spans="1:7" x14ac:dyDescent="0.3">
      <c r="A13" s="14"/>
      <c r="B13" s="3" t="s">
        <v>3</v>
      </c>
      <c r="C13" s="4">
        <v>140.0025</v>
      </c>
      <c r="D13" s="4">
        <v>105.964699029</v>
      </c>
      <c r="E13" s="4">
        <v>361.84921589999999</v>
      </c>
      <c r="F13" s="4">
        <v>46.667230000000004</v>
      </c>
      <c r="G13" s="4">
        <v>133.12006</v>
      </c>
    </row>
    <row r="14" spans="1:7" x14ac:dyDescent="0.3">
      <c r="A14" s="14"/>
      <c r="B14" s="3" t="s">
        <v>4</v>
      </c>
      <c r="C14" s="4">
        <v>131.33258000000001</v>
      </c>
      <c r="D14" s="4">
        <v>70.486753899999997</v>
      </c>
      <c r="E14" s="4">
        <v>324.23770000000002</v>
      </c>
      <c r="F14" s="4">
        <v>34.130690813000001</v>
      </c>
      <c r="G14" s="4">
        <v>121.913</v>
      </c>
    </row>
    <row r="15" spans="1:7" ht="15" thickBot="1" x14ac:dyDescent="0.35">
      <c r="A15" s="15"/>
      <c r="B15" s="5" t="s">
        <v>5</v>
      </c>
      <c r="C15" s="4">
        <v>287.54419999999999</v>
      </c>
      <c r="D15" s="4">
        <v>143.01458</v>
      </c>
      <c r="E15" s="4">
        <v>407.20453810691799</v>
      </c>
      <c r="F15" s="4">
        <v>211.8537</v>
      </c>
      <c r="G15" s="4">
        <v>223.79289</v>
      </c>
    </row>
    <row r="16" spans="1:7" x14ac:dyDescent="0.3">
      <c r="A16" s="13">
        <v>7</v>
      </c>
      <c r="B16" s="1" t="s">
        <v>0</v>
      </c>
      <c r="C16" s="2">
        <v>496.97</v>
      </c>
      <c r="D16" s="2">
        <v>459.28</v>
      </c>
      <c r="E16" s="2">
        <v>1151.02</v>
      </c>
      <c r="F16" s="2">
        <v>358.1</v>
      </c>
      <c r="G16" s="2">
        <v>634.42999999999995</v>
      </c>
    </row>
    <row r="17" spans="1:7" x14ac:dyDescent="0.3">
      <c r="A17" s="14"/>
      <c r="B17" s="3" t="s">
        <v>1</v>
      </c>
      <c r="C17" s="4">
        <v>649.86725000000001</v>
      </c>
      <c r="D17" s="4">
        <v>362.63148999999999</v>
      </c>
      <c r="E17" s="4">
        <v>953.16751620000002</v>
      </c>
      <c r="F17" s="4">
        <v>1335.9780699999999</v>
      </c>
      <c r="G17" s="4">
        <v>2166.8841400000001</v>
      </c>
    </row>
    <row r="18" spans="1:7" x14ac:dyDescent="0.3">
      <c r="A18" s="14"/>
      <c r="B18" s="3" t="s">
        <v>2</v>
      </c>
      <c r="C18" s="4">
        <v>229.05560922000001</v>
      </c>
      <c r="D18" s="4">
        <v>279.23379999999997</v>
      </c>
      <c r="E18" s="4">
        <v>339.70660805</v>
      </c>
      <c r="F18" s="4">
        <v>867.27315639999995</v>
      </c>
      <c r="G18" s="4">
        <v>958.34659218787999</v>
      </c>
    </row>
    <row r="19" spans="1:7" x14ac:dyDescent="0.3">
      <c r="A19" s="14"/>
      <c r="B19" s="3" t="s">
        <v>3</v>
      </c>
      <c r="C19" s="4">
        <v>78.445713999999995</v>
      </c>
      <c r="D19" s="4">
        <v>38.299189567565001</v>
      </c>
      <c r="E19" s="4">
        <v>40.318120399999998</v>
      </c>
      <c r="F19" s="4">
        <v>80.002583700000002</v>
      </c>
      <c r="G19" s="4">
        <v>137.35154676400001</v>
      </c>
    </row>
    <row r="20" spans="1:7" x14ac:dyDescent="0.3">
      <c r="A20" s="14"/>
      <c r="B20" s="3" t="s">
        <v>4</v>
      </c>
      <c r="C20" s="4">
        <v>81.088059999999999</v>
      </c>
      <c r="D20" s="4">
        <v>44.363425399999997</v>
      </c>
      <c r="E20" s="4">
        <v>79.542941999999996</v>
      </c>
      <c r="F20" s="4">
        <v>108.22863</v>
      </c>
      <c r="G20" s="4">
        <v>169.028037786</v>
      </c>
    </row>
    <row r="21" spans="1:7" ht="15" thickBot="1" x14ac:dyDescent="0.35">
      <c r="A21" s="15"/>
      <c r="B21" s="5" t="s">
        <v>5</v>
      </c>
      <c r="C21" s="4">
        <v>162.23598000000001</v>
      </c>
      <c r="D21" s="4">
        <v>120.343463</v>
      </c>
      <c r="E21" s="4">
        <v>210.48490000000001</v>
      </c>
      <c r="F21" s="4">
        <v>153.566993</v>
      </c>
      <c r="G21" s="4">
        <v>214.20931999999999</v>
      </c>
    </row>
    <row r="22" spans="1:7" x14ac:dyDescent="0.3">
      <c r="A22" s="13">
        <v>8</v>
      </c>
      <c r="B22" s="1" t="s">
        <v>0</v>
      </c>
      <c r="C22" s="2">
        <v>880.08</v>
      </c>
      <c r="D22" s="2">
        <v>1476.52</v>
      </c>
      <c r="E22" s="2">
        <v>1261.1400000000001</v>
      </c>
      <c r="F22" s="2">
        <v>588.27</v>
      </c>
      <c r="G22" s="2">
        <v>390.14</v>
      </c>
    </row>
    <row r="23" spans="1:7" x14ac:dyDescent="0.3">
      <c r="A23" s="14"/>
      <c r="B23" s="3" t="s">
        <v>1</v>
      </c>
      <c r="C23" s="4">
        <v>2348.85115623</v>
      </c>
      <c r="D23" s="4">
        <v>1612.3046271000001</v>
      </c>
      <c r="E23" s="4">
        <v>1946.822866</v>
      </c>
      <c r="F23" s="4">
        <v>460.47120000000001</v>
      </c>
      <c r="G23" s="4">
        <v>1087.8330000000001</v>
      </c>
    </row>
    <row r="24" spans="1:7" x14ac:dyDescent="0.3">
      <c r="A24" s="14"/>
      <c r="B24" s="3" t="s">
        <v>2</v>
      </c>
      <c r="C24" s="4">
        <v>1178.2671459999999</v>
      </c>
      <c r="D24" s="4">
        <v>885.39527320000002</v>
      </c>
      <c r="E24" s="4">
        <v>682.08180000000004</v>
      </c>
      <c r="F24" s="4">
        <v>236.57268999999999</v>
      </c>
      <c r="G24" s="4">
        <v>625.33972900000003</v>
      </c>
    </row>
    <row r="25" spans="1:7" x14ac:dyDescent="0.3">
      <c r="A25" s="14"/>
      <c r="B25" s="3" t="s">
        <v>3</v>
      </c>
      <c r="C25" s="4">
        <v>196.898</v>
      </c>
      <c r="D25" s="4">
        <v>297.80114173889001</v>
      </c>
      <c r="E25" s="4">
        <v>301.85418414999998</v>
      </c>
      <c r="F25" s="4">
        <v>255.92815923690699</v>
      </c>
      <c r="G25" s="4">
        <v>376.41132307052601</v>
      </c>
    </row>
    <row r="26" spans="1:7" x14ac:dyDescent="0.3">
      <c r="A26" s="14"/>
      <c r="B26" s="3" t="s">
        <v>4</v>
      </c>
      <c r="C26" s="4">
        <v>123.0605</v>
      </c>
      <c r="D26" s="4">
        <v>137.44949</v>
      </c>
      <c r="E26" s="4">
        <v>159.814539</v>
      </c>
      <c r="F26" s="4">
        <v>157.47980000000001</v>
      </c>
      <c r="G26" s="4">
        <v>190.63109564781101</v>
      </c>
    </row>
    <row r="27" spans="1:7" ht="15" thickBot="1" x14ac:dyDescent="0.35">
      <c r="A27" s="15"/>
      <c r="B27" s="5" t="s">
        <v>5</v>
      </c>
      <c r="C27" s="6">
        <v>156.21556781999999</v>
      </c>
      <c r="D27" s="6">
        <v>188.09908556938001</v>
      </c>
      <c r="E27" s="6">
        <v>174.677844285964</v>
      </c>
      <c r="F27" s="6">
        <v>195.49368380999999</v>
      </c>
      <c r="G27" s="6">
        <v>331.75506901</v>
      </c>
    </row>
  </sheetData>
  <mergeCells count="5">
    <mergeCell ref="C2:G2"/>
    <mergeCell ref="A4:A9"/>
    <mergeCell ref="A10:A15"/>
    <mergeCell ref="A16:A21"/>
    <mergeCell ref="A2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4821-623D-4447-8A8A-C6648E0B6B8F}">
  <dimension ref="A1:F102"/>
  <sheetViews>
    <sheetView tabSelected="1" workbookViewId="0">
      <selection activeCell="F10" sqref="F10"/>
    </sheetView>
  </sheetViews>
  <sheetFormatPr defaultRowHeight="14.4" x14ac:dyDescent="0.3"/>
  <cols>
    <col min="2" max="2" width="13.33203125" customWidth="1"/>
    <col min="3" max="3" width="28.5546875" customWidth="1"/>
    <col min="4" max="4" width="22.5546875" customWidth="1"/>
    <col min="5" max="5" width="22" customWidth="1"/>
    <col min="6" max="6" width="26.5546875" customWidth="1"/>
  </cols>
  <sheetData>
    <row r="1" spans="1:6" ht="15" thickBot="1" x14ac:dyDescent="0.35"/>
    <row r="2" spans="1:6" ht="15" thickBot="1" x14ac:dyDescent="0.35">
      <c r="A2" s="12" t="s">
        <v>9</v>
      </c>
      <c r="B2" s="12" t="s">
        <v>8</v>
      </c>
      <c r="C2" s="61" t="s">
        <v>7</v>
      </c>
      <c r="D2" s="61" t="s">
        <v>10</v>
      </c>
      <c r="E2" s="61" t="s">
        <v>11</v>
      </c>
      <c r="F2" s="25" t="s">
        <v>12</v>
      </c>
    </row>
    <row r="3" spans="1:6" x14ac:dyDescent="0.3">
      <c r="A3" s="1">
        <v>5</v>
      </c>
      <c r="B3" s="1">
        <v>1</v>
      </c>
      <c r="C3" s="1" t="s">
        <v>1</v>
      </c>
      <c r="D3" s="16" t="s">
        <v>13</v>
      </c>
      <c r="E3" s="19">
        <v>48725.279999999977</v>
      </c>
      <c r="F3" s="19">
        <v>48725.279999999999</v>
      </c>
    </row>
    <row r="4" spans="1:6" x14ac:dyDescent="0.3">
      <c r="A4" s="3"/>
      <c r="B4" s="3"/>
      <c r="C4" s="3" t="s">
        <v>2</v>
      </c>
      <c r="D4" s="17" t="s">
        <v>13</v>
      </c>
      <c r="E4" s="20">
        <v>48725.279999999977</v>
      </c>
      <c r="F4" s="20">
        <v>48725.279999999999</v>
      </c>
    </row>
    <row r="5" spans="1:6" x14ac:dyDescent="0.3">
      <c r="A5" s="3"/>
      <c r="B5" s="3"/>
      <c r="C5" s="3" t="s">
        <v>3</v>
      </c>
      <c r="D5" s="21" t="s">
        <v>13</v>
      </c>
      <c r="E5" s="20">
        <v>48725.279999999977</v>
      </c>
      <c r="F5" s="20">
        <v>48725.279999999999</v>
      </c>
    </row>
    <row r="6" spans="1:6" x14ac:dyDescent="0.3">
      <c r="A6" s="3"/>
      <c r="B6" s="3"/>
      <c r="C6" s="3" t="s">
        <v>4</v>
      </c>
      <c r="D6" s="17" t="s">
        <v>13</v>
      </c>
      <c r="E6" s="20">
        <v>48725.279999999977</v>
      </c>
      <c r="F6" s="20">
        <v>48725.279999999999</v>
      </c>
    </row>
    <row r="7" spans="1:6" ht="15" thickBot="1" x14ac:dyDescent="0.35">
      <c r="A7" s="3"/>
      <c r="B7" s="5"/>
      <c r="C7" s="5" t="s">
        <v>5</v>
      </c>
      <c r="D7" s="18" t="s">
        <v>13</v>
      </c>
      <c r="E7" s="22">
        <v>48725.279999999977</v>
      </c>
      <c r="F7" s="22">
        <v>48725.279999999999</v>
      </c>
    </row>
    <row r="8" spans="1:6" x14ac:dyDescent="0.3">
      <c r="A8" s="3"/>
      <c r="B8" s="1">
        <v>2</v>
      </c>
      <c r="C8" s="1" t="s">
        <v>1</v>
      </c>
      <c r="D8" s="17" t="s">
        <v>13</v>
      </c>
      <c r="E8" s="20">
        <v>72131.64</v>
      </c>
      <c r="F8" s="19">
        <v>72131.64</v>
      </c>
    </row>
    <row r="9" spans="1:6" x14ac:dyDescent="0.3">
      <c r="A9" s="3"/>
      <c r="B9" s="3"/>
      <c r="C9" s="3" t="s">
        <v>2</v>
      </c>
      <c r="D9" s="17" t="s">
        <v>13</v>
      </c>
      <c r="E9" s="20">
        <v>72131.64</v>
      </c>
      <c r="F9" s="20">
        <v>72131.64</v>
      </c>
    </row>
    <row r="10" spans="1:6" x14ac:dyDescent="0.3">
      <c r="A10" s="3"/>
      <c r="B10" s="3"/>
      <c r="C10" s="3" t="s">
        <v>3</v>
      </c>
      <c r="D10" s="17" t="s">
        <v>13</v>
      </c>
      <c r="E10" s="20">
        <v>72131.64</v>
      </c>
      <c r="F10" s="20">
        <v>72131.64</v>
      </c>
    </row>
    <row r="11" spans="1:6" x14ac:dyDescent="0.3">
      <c r="A11" s="3"/>
      <c r="B11" s="3"/>
      <c r="C11" s="3" t="s">
        <v>4</v>
      </c>
      <c r="D11" s="17" t="s">
        <v>13</v>
      </c>
      <c r="E11" s="20">
        <v>72131.64</v>
      </c>
      <c r="F11" s="20">
        <v>72131.64</v>
      </c>
    </row>
    <row r="12" spans="1:6" ht="15" thickBot="1" x14ac:dyDescent="0.35">
      <c r="A12" s="3"/>
      <c r="B12" s="5"/>
      <c r="C12" s="5" t="s">
        <v>5</v>
      </c>
      <c r="D12" s="17" t="s">
        <v>13</v>
      </c>
      <c r="E12" s="20">
        <v>72131.64</v>
      </c>
      <c r="F12" s="22">
        <v>72131.64</v>
      </c>
    </row>
    <row r="13" spans="1:6" x14ac:dyDescent="0.3">
      <c r="A13" s="3"/>
      <c r="B13" s="1">
        <v>3</v>
      </c>
      <c r="C13" s="1" t="s">
        <v>1</v>
      </c>
      <c r="D13" s="16" t="s">
        <v>14</v>
      </c>
      <c r="E13" s="19">
        <v>54188.220000000023</v>
      </c>
      <c r="F13" s="19">
        <v>54188.22</v>
      </c>
    </row>
    <row r="14" spans="1:6" x14ac:dyDescent="0.3">
      <c r="A14" s="3"/>
      <c r="B14" s="3"/>
      <c r="C14" s="3" t="s">
        <v>2</v>
      </c>
      <c r="D14" s="17" t="s">
        <v>14</v>
      </c>
      <c r="E14" s="20">
        <v>54188.220000000023</v>
      </c>
      <c r="F14" s="20">
        <v>54188.22</v>
      </c>
    </row>
    <row r="15" spans="1:6" x14ac:dyDescent="0.3">
      <c r="A15" s="3"/>
      <c r="B15" s="3"/>
      <c r="C15" s="3" t="s">
        <v>3</v>
      </c>
      <c r="D15" s="17" t="s">
        <v>14</v>
      </c>
      <c r="E15" s="20">
        <v>54188.220000000023</v>
      </c>
      <c r="F15" s="20">
        <v>54188.22</v>
      </c>
    </row>
    <row r="16" spans="1:6" x14ac:dyDescent="0.3">
      <c r="A16" s="3"/>
      <c r="B16" s="3"/>
      <c r="C16" s="3" t="s">
        <v>4</v>
      </c>
      <c r="D16" s="17" t="s">
        <v>14</v>
      </c>
      <c r="E16" s="20">
        <v>54188.220000000023</v>
      </c>
      <c r="F16" s="20">
        <v>54188.22</v>
      </c>
    </row>
    <row r="17" spans="1:6" ht="15" thickBot="1" x14ac:dyDescent="0.35">
      <c r="A17" s="3"/>
      <c r="B17" s="5"/>
      <c r="C17" s="5" t="s">
        <v>5</v>
      </c>
      <c r="D17" s="18" t="s">
        <v>14</v>
      </c>
      <c r="E17" s="22">
        <v>54188.220000000023</v>
      </c>
      <c r="F17" s="22">
        <v>54188.22</v>
      </c>
    </row>
    <row r="18" spans="1:6" x14ac:dyDescent="0.3">
      <c r="A18" s="3"/>
      <c r="B18" s="1">
        <v>4</v>
      </c>
      <c r="C18" s="1" t="s">
        <v>1</v>
      </c>
      <c r="D18" s="16" t="s">
        <v>15</v>
      </c>
      <c r="E18" s="19">
        <v>65024.469999999987</v>
      </c>
      <c r="F18" s="19">
        <v>65024.469999999987</v>
      </c>
    </row>
    <row r="19" spans="1:6" x14ac:dyDescent="0.3">
      <c r="A19" s="3"/>
      <c r="B19" s="3"/>
      <c r="C19" s="3" t="s">
        <v>2</v>
      </c>
      <c r="D19" s="17" t="s">
        <v>15</v>
      </c>
      <c r="E19" s="20">
        <v>65024.469999999987</v>
      </c>
      <c r="F19" s="20">
        <v>65024.469999999987</v>
      </c>
    </row>
    <row r="20" spans="1:6" x14ac:dyDescent="0.3">
      <c r="A20" s="3"/>
      <c r="B20" s="3"/>
      <c r="C20" s="3" t="s">
        <v>3</v>
      </c>
      <c r="D20" s="17" t="s">
        <v>15</v>
      </c>
      <c r="E20" s="20">
        <v>65024.469999999987</v>
      </c>
      <c r="F20" s="20">
        <v>65024.469999999987</v>
      </c>
    </row>
    <row r="21" spans="1:6" x14ac:dyDescent="0.3">
      <c r="A21" s="3"/>
      <c r="B21" s="3"/>
      <c r="C21" s="3" t="s">
        <v>4</v>
      </c>
      <c r="D21" s="17" t="s">
        <v>15</v>
      </c>
      <c r="E21" s="20">
        <v>65024.469999999987</v>
      </c>
      <c r="F21" s="20">
        <v>65024.469999999987</v>
      </c>
    </row>
    <row r="22" spans="1:6" ht="15" thickBot="1" x14ac:dyDescent="0.35">
      <c r="A22" s="3"/>
      <c r="B22" s="5"/>
      <c r="C22" s="5" t="s">
        <v>5</v>
      </c>
      <c r="D22" s="18" t="s">
        <v>15</v>
      </c>
      <c r="E22" s="22">
        <v>65024.469999999987</v>
      </c>
      <c r="F22" s="22">
        <v>65024.469999999987</v>
      </c>
    </row>
    <row r="23" spans="1:6" x14ac:dyDescent="0.3">
      <c r="A23" s="3"/>
      <c r="B23" s="1">
        <v>5</v>
      </c>
      <c r="C23" s="1" t="s">
        <v>1</v>
      </c>
      <c r="D23" s="16" t="s">
        <v>16</v>
      </c>
      <c r="E23" s="19">
        <v>34908.070000000007</v>
      </c>
      <c r="F23" s="19">
        <v>34908.070000000007</v>
      </c>
    </row>
    <row r="24" spans="1:6" x14ac:dyDescent="0.3">
      <c r="A24" s="3"/>
      <c r="B24" s="3"/>
      <c r="C24" s="3" t="s">
        <v>2</v>
      </c>
      <c r="D24" s="17" t="s">
        <v>16</v>
      </c>
      <c r="E24" s="20">
        <v>34908.070000000007</v>
      </c>
      <c r="F24" s="20">
        <v>34908.070000000007</v>
      </c>
    </row>
    <row r="25" spans="1:6" x14ac:dyDescent="0.3">
      <c r="A25" s="3"/>
      <c r="B25" s="3"/>
      <c r="C25" s="3" t="s">
        <v>3</v>
      </c>
      <c r="D25" s="17" t="s">
        <v>16</v>
      </c>
      <c r="E25" s="20">
        <v>34908.070000000007</v>
      </c>
      <c r="F25" s="20">
        <v>34908.070000000007</v>
      </c>
    </row>
    <row r="26" spans="1:6" x14ac:dyDescent="0.3">
      <c r="A26" s="3"/>
      <c r="B26" s="3"/>
      <c r="C26" s="3" t="s">
        <v>4</v>
      </c>
      <c r="D26" s="17" t="s">
        <v>16</v>
      </c>
      <c r="E26" s="20">
        <v>34908.070000000007</v>
      </c>
      <c r="F26" s="20">
        <v>34908.070000000007</v>
      </c>
    </row>
    <row r="27" spans="1:6" ht="15" thickBot="1" x14ac:dyDescent="0.35">
      <c r="A27" s="5"/>
      <c r="B27" s="5"/>
      <c r="C27" s="5" t="s">
        <v>5</v>
      </c>
      <c r="D27" s="18" t="s">
        <v>16</v>
      </c>
      <c r="E27" s="22">
        <v>34908.070000000007</v>
      </c>
      <c r="F27" s="22">
        <v>34908.070000000007</v>
      </c>
    </row>
    <row r="28" spans="1:6" x14ac:dyDescent="0.3">
      <c r="A28" s="1">
        <v>6</v>
      </c>
      <c r="B28" s="1">
        <v>1</v>
      </c>
      <c r="C28" s="1" t="s">
        <v>1</v>
      </c>
      <c r="D28" s="16" t="s">
        <v>17</v>
      </c>
      <c r="E28" s="19">
        <v>81008.760000000009</v>
      </c>
      <c r="F28" s="19">
        <v>81008.760000000009</v>
      </c>
    </row>
    <row r="29" spans="1:6" x14ac:dyDescent="0.3">
      <c r="A29" s="3"/>
      <c r="B29" s="3"/>
      <c r="C29" s="3" t="s">
        <v>2</v>
      </c>
      <c r="D29" s="17" t="s">
        <v>17</v>
      </c>
      <c r="E29" s="20">
        <v>81008.760000000009</v>
      </c>
      <c r="F29" s="20">
        <v>81008.760000000009</v>
      </c>
    </row>
    <row r="30" spans="1:6" x14ac:dyDescent="0.3">
      <c r="A30" s="3"/>
      <c r="B30" s="3"/>
      <c r="C30" s="3" t="s">
        <v>3</v>
      </c>
      <c r="D30" s="17" t="s">
        <v>17</v>
      </c>
      <c r="E30" s="20">
        <v>81008.760000000009</v>
      </c>
      <c r="F30" s="20">
        <v>81008.760000000009</v>
      </c>
    </row>
    <row r="31" spans="1:6" x14ac:dyDescent="0.3">
      <c r="A31" s="3"/>
      <c r="B31" s="3"/>
      <c r="C31" s="3" t="s">
        <v>4</v>
      </c>
      <c r="D31" s="17" t="s">
        <v>17</v>
      </c>
      <c r="E31" s="20">
        <v>81008.760000000009</v>
      </c>
      <c r="F31" s="20">
        <v>81008.760000000009</v>
      </c>
    </row>
    <row r="32" spans="1:6" ht="15" thickBot="1" x14ac:dyDescent="0.35">
      <c r="A32" s="3"/>
      <c r="B32" s="5"/>
      <c r="C32" s="5" t="s">
        <v>5</v>
      </c>
      <c r="D32" s="18" t="s">
        <v>17</v>
      </c>
      <c r="E32" s="22">
        <v>81008.760000000009</v>
      </c>
      <c r="F32" s="22">
        <v>81008.760000000009</v>
      </c>
    </row>
    <row r="33" spans="1:6" x14ac:dyDescent="0.3">
      <c r="A33" s="3"/>
      <c r="B33" s="1">
        <v>2</v>
      </c>
      <c r="C33" s="1" t="s">
        <v>1</v>
      </c>
      <c r="D33" s="16" t="s">
        <v>18</v>
      </c>
      <c r="E33" s="19">
        <v>76540.740000000005</v>
      </c>
      <c r="F33" s="19">
        <v>76540.740000000005</v>
      </c>
    </row>
    <row r="34" spans="1:6" x14ac:dyDescent="0.3">
      <c r="A34" s="3"/>
      <c r="B34" s="3"/>
      <c r="C34" s="3" t="s">
        <v>2</v>
      </c>
      <c r="D34" s="17" t="s">
        <v>18</v>
      </c>
      <c r="E34" s="20">
        <v>76540.740000000005</v>
      </c>
      <c r="F34" s="20">
        <v>76540.740000000005</v>
      </c>
    </row>
    <row r="35" spans="1:6" x14ac:dyDescent="0.3">
      <c r="A35" s="3"/>
      <c r="B35" s="3"/>
      <c r="C35" s="3" t="s">
        <v>3</v>
      </c>
      <c r="D35" s="17" t="s">
        <v>18</v>
      </c>
      <c r="E35" s="20">
        <v>76540.740000000005</v>
      </c>
      <c r="F35" s="20">
        <v>76540.740000000005</v>
      </c>
    </row>
    <row r="36" spans="1:6" x14ac:dyDescent="0.3">
      <c r="A36" s="3"/>
      <c r="B36" s="3"/>
      <c r="C36" s="3" t="s">
        <v>4</v>
      </c>
      <c r="D36" s="17" t="s">
        <v>18</v>
      </c>
      <c r="E36" s="20">
        <v>76540.740000000005</v>
      </c>
      <c r="F36" s="20">
        <v>76540.740000000005</v>
      </c>
    </row>
    <row r="37" spans="1:6" ht="15" thickBot="1" x14ac:dyDescent="0.35">
      <c r="A37" s="3"/>
      <c r="B37" s="5"/>
      <c r="C37" s="5" t="s">
        <v>5</v>
      </c>
      <c r="D37" s="18" t="s">
        <v>18</v>
      </c>
      <c r="E37" s="22">
        <v>76540.740000000005</v>
      </c>
      <c r="F37" s="22">
        <v>76540.740000000005</v>
      </c>
    </row>
    <row r="38" spans="1:6" x14ac:dyDescent="0.3">
      <c r="A38" s="3"/>
      <c r="B38" s="1">
        <v>3</v>
      </c>
      <c r="C38" s="1" t="s">
        <v>1</v>
      </c>
      <c r="D38" s="17" t="s">
        <v>19</v>
      </c>
      <c r="E38" s="20">
        <v>57037.880000000026</v>
      </c>
      <c r="F38" s="19">
        <v>57037.880000000026</v>
      </c>
    </row>
    <row r="39" spans="1:6" x14ac:dyDescent="0.3">
      <c r="A39" s="3"/>
      <c r="B39" s="3"/>
      <c r="C39" s="3" t="s">
        <v>2</v>
      </c>
      <c r="D39" s="17" t="s">
        <v>19</v>
      </c>
      <c r="E39" s="20">
        <v>57037.880000000026</v>
      </c>
      <c r="F39" s="20">
        <v>57037.880000000026</v>
      </c>
    </row>
    <row r="40" spans="1:6" x14ac:dyDescent="0.3">
      <c r="A40" s="3"/>
      <c r="B40" s="3"/>
      <c r="C40" s="3" t="s">
        <v>3</v>
      </c>
      <c r="D40" s="17" t="s">
        <v>19</v>
      </c>
      <c r="E40" s="20">
        <v>57037.880000000026</v>
      </c>
      <c r="F40" s="20">
        <v>57037.880000000026</v>
      </c>
    </row>
    <row r="41" spans="1:6" x14ac:dyDescent="0.3">
      <c r="A41" s="3"/>
      <c r="B41" s="3"/>
      <c r="C41" s="3" t="s">
        <v>4</v>
      </c>
      <c r="D41" s="17" t="s">
        <v>19</v>
      </c>
      <c r="E41" s="20">
        <v>57037.880000000026</v>
      </c>
      <c r="F41" s="20">
        <v>57037.880000000026</v>
      </c>
    </row>
    <row r="42" spans="1:6" ht="15" thickBot="1" x14ac:dyDescent="0.35">
      <c r="A42" s="3"/>
      <c r="B42" s="5"/>
      <c r="C42" s="5" t="s">
        <v>5</v>
      </c>
      <c r="D42" s="18" t="s">
        <v>19</v>
      </c>
      <c r="E42" s="22">
        <v>57037.880000000026</v>
      </c>
      <c r="F42" s="22">
        <v>57037.880000000026</v>
      </c>
    </row>
    <row r="43" spans="1:6" x14ac:dyDescent="0.3">
      <c r="A43" s="3"/>
      <c r="B43" s="1">
        <v>4</v>
      </c>
      <c r="C43" s="1" t="s">
        <v>1</v>
      </c>
      <c r="D43" s="16" t="s">
        <v>20</v>
      </c>
      <c r="E43" s="19">
        <v>93378.677980799999</v>
      </c>
      <c r="F43" s="19">
        <v>93378.677980799999</v>
      </c>
    </row>
    <row r="44" spans="1:6" x14ac:dyDescent="0.3">
      <c r="A44" s="3"/>
      <c r="B44" s="3"/>
      <c r="C44" s="3" t="s">
        <v>2</v>
      </c>
      <c r="D44" s="17" t="s">
        <v>20</v>
      </c>
      <c r="E44" s="20">
        <v>93378.677980799999</v>
      </c>
      <c r="F44" s="20">
        <v>93378.677980799999</v>
      </c>
    </row>
    <row r="45" spans="1:6" x14ac:dyDescent="0.3">
      <c r="A45" s="3"/>
      <c r="B45" s="3"/>
      <c r="C45" s="3" t="s">
        <v>3</v>
      </c>
      <c r="D45" s="17" t="s">
        <v>20</v>
      </c>
      <c r="E45" s="20">
        <v>93378.677980799999</v>
      </c>
      <c r="F45" s="20">
        <v>93378.677980799999</v>
      </c>
    </row>
    <row r="46" spans="1:6" x14ac:dyDescent="0.3">
      <c r="A46" s="3"/>
      <c r="B46" s="3"/>
      <c r="C46" s="3" t="s">
        <v>4</v>
      </c>
      <c r="D46" s="17" t="s">
        <v>20</v>
      </c>
      <c r="E46" s="20">
        <v>93378.677980799999</v>
      </c>
      <c r="F46" s="20">
        <v>93378.677980799999</v>
      </c>
    </row>
    <row r="47" spans="1:6" ht="15" thickBot="1" x14ac:dyDescent="0.35">
      <c r="A47" s="3"/>
      <c r="B47" s="5"/>
      <c r="C47" s="5" t="s">
        <v>5</v>
      </c>
      <c r="D47" s="18" t="s">
        <v>20</v>
      </c>
      <c r="E47" s="22">
        <v>93378.677980799999</v>
      </c>
      <c r="F47" s="22">
        <v>93378.677980799999</v>
      </c>
    </row>
    <row r="48" spans="1:6" x14ac:dyDescent="0.3">
      <c r="A48" s="3"/>
      <c r="B48" s="3">
        <v>5</v>
      </c>
      <c r="C48" s="3" t="s">
        <v>1</v>
      </c>
      <c r="D48" s="17" t="s">
        <v>21</v>
      </c>
      <c r="E48" s="20">
        <v>64727.960000000006</v>
      </c>
      <c r="F48" s="20">
        <v>64727.960000000006</v>
      </c>
    </row>
    <row r="49" spans="1:6" x14ac:dyDescent="0.3">
      <c r="A49" s="3"/>
      <c r="B49" s="3"/>
      <c r="C49" s="3" t="s">
        <v>2</v>
      </c>
      <c r="D49" s="17" t="s">
        <v>21</v>
      </c>
      <c r="E49" s="20">
        <v>64727.960000000006</v>
      </c>
      <c r="F49" s="20">
        <v>64727.960000000006</v>
      </c>
    </row>
    <row r="50" spans="1:6" x14ac:dyDescent="0.3">
      <c r="A50" s="3"/>
      <c r="B50" s="3"/>
      <c r="C50" s="3" t="s">
        <v>3</v>
      </c>
      <c r="D50" s="17" t="s">
        <v>21</v>
      </c>
      <c r="E50" s="20">
        <v>64727.960000000006</v>
      </c>
      <c r="F50" s="20">
        <v>64727.960000000006</v>
      </c>
    </row>
    <row r="51" spans="1:6" x14ac:dyDescent="0.3">
      <c r="A51" s="3"/>
      <c r="B51" s="3"/>
      <c r="C51" s="3" t="s">
        <v>4</v>
      </c>
      <c r="D51" s="17" t="s">
        <v>21</v>
      </c>
      <c r="E51" s="20">
        <v>64727.960000000006</v>
      </c>
      <c r="F51" s="20">
        <v>64727.960000000006</v>
      </c>
    </row>
    <row r="52" spans="1:6" ht="15" thickBot="1" x14ac:dyDescent="0.35">
      <c r="A52" s="5"/>
      <c r="B52" s="5"/>
      <c r="C52" s="5" t="s">
        <v>5</v>
      </c>
      <c r="D52" s="18" t="s">
        <v>21</v>
      </c>
      <c r="E52" s="22">
        <v>64727.960000000006</v>
      </c>
      <c r="F52" s="22">
        <v>64727.960000000006</v>
      </c>
    </row>
    <row r="53" spans="1:6" x14ac:dyDescent="0.3">
      <c r="A53" s="1">
        <v>7</v>
      </c>
      <c r="B53" s="1">
        <v>1</v>
      </c>
      <c r="C53" s="1" t="s">
        <v>1</v>
      </c>
      <c r="D53" s="17" t="s">
        <v>22</v>
      </c>
      <c r="E53" s="19">
        <v>77065.250000000015</v>
      </c>
      <c r="F53" s="19">
        <v>75907</v>
      </c>
    </row>
    <row r="54" spans="1:6" x14ac:dyDescent="0.3">
      <c r="A54" s="3"/>
      <c r="B54" s="3"/>
      <c r="C54" s="3" t="s">
        <v>2</v>
      </c>
      <c r="D54" s="17" t="s">
        <v>22</v>
      </c>
      <c r="E54" s="20">
        <v>75907</v>
      </c>
      <c r="F54" s="20">
        <v>75907</v>
      </c>
    </row>
    <row r="55" spans="1:6" x14ac:dyDescent="0.3">
      <c r="A55" s="3"/>
      <c r="B55" s="3"/>
      <c r="C55" s="3" t="s">
        <v>3</v>
      </c>
      <c r="D55" s="17" t="s">
        <v>22</v>
      </c>
      <c r="E55" s="20">
        <v>75907</v>
      </c>
      <c r="F55" s="20">
        <v>75907</v>
      </c>
    </row>
    <row r="56" spans="1:6" x14ac:dyDescent="0.3">
      <c r="A56" s="3"/>
      <c r="B56" s="3"/>
      <c r="C56" s="3" t="s">
        <v>4</v>
      </c>
      <c r="D56" s="17" t="s">
        <v>22</v>
      </c>
      <c r="E56" s="20">
        <v>77065.250000000015</v>
      </c>
      <c r="F56" s="20">
        <v>75907</v>
      </c>
    </row>
    <row r="57" spans="1:6" ht="15" thickBot="1" x14ac:dyDescent="0.35">
      <c r="A57" s="3"/>
      <c r="B57" s="5"/>
      <c r="C57" s="5" t="s">
        <v>5</v>
      </c>
      <c r="D57" s="18" t="s">
        <v>22</v>
      </c>
      <c r="E57" s="22">
        <v>75907</v>
      </c>
      <c r="F57" s="22">
        <v>75907</v>
      </c>
    </row>
    <row r="58" spans="1:6" x14ac:dyDescent="0.3">
      <c r="A58" s="3"/>
      <c r="B58" s="1">
        <v>2</v>
      </c>
      <c r="C58" s="1" t="s">
        <v>1</v>
      </c>
      <c r="D58" s="16" t="s">
        <v>23</v>
      </c>
      <c r="E58" s="19">
        <v>88465.26999999999</v>
      </c>
      <c r="F58" s="19">
        <v>88465.26999999999</v>
      </c>
    </row>
    <row r="59" spans="1:6" x14ac:dyDescent="0.3">
      <c r="A59" s="3"/>
      <c r="B59" s="3"/>
      <c r="C59" s="3" t="s">
        <v>2</v>
      </c>
      <c r="D59" s="17" t="s">
        <v>23</v>
      </c>
      <c r="E59" s="20">
        <v>88465.26999999999</v>
      </c>
      <c r="F59" s="20">
        <v>88465.26999999999</v>
      </c>
    </row>
    <row r="60" spans="1:6" x14ac:dyDescent="0.3">
      <c r="A60" s="3"/>
      <c r="B60" s="3"/>
      <c r="C60" s="3" t="s">
        <v>3</v>
      </c>
      <c r="D60" s="17" t="s">
        <v>23</v>
      </c>
      <c r="E60" s="20">
        <v>88465.26999999999</v>
      </c>
      <c r="F60" s="20">
        <v>88465.26999999999</v>
      </c>
    </row>
    <row r="61" spans="1:6" x14ac:dyDescent="0.3">
      <c r="A61" s="3"/>
      <c r="B61" s="3"/>
      <c r="C61" s="3" t="s">
        <v>4</v>
      </c>
      <c r="D61" s="17" t="s">
        <v>23</v>
      </c>
      <c r="E61" s="20">
        <v>88465.26999999999</v>
      </c>
      <c r="F61" s="20">
        <v>88465.26999999999</v>
      </c>
    </row>
    <row r="62" spans="1:6" ht="15" thickBot="1" x14ac:dyDescent="0.35">
      <c r="A62" s="3"/>
      <c r="B62" s="5"/>
      <c r="C62" s="5" t="s">
        <v>5</v>
      </c>
      <c r="D62" s="18" t="s">
        <v>23</v>
      </c>
      <c r="E62" s="22">
        <v>88465.26999999999</v>
      </c>
      <c r="F62" s="22">
        <v>88465.26999999999</v>
      </c>
    </row>
    <row r="63" spans="1:6" x14ac:dyDescent="0.3">
      <c r="A63" s="3"/>
      <c r="B63" s="1">
        <v>3</v>
      </c>
      <c r="C63" s="1" t="s">
        <v>1</v>
      </c>
      <c r="D63" s="16" t="s">
        <v>24</v>
      </c>
      <c r="E63" s="19">
        <v>121879.55</v>
      </c>
      <c r="F63" s="19">
        <v>121516.63</v>
      </c>
    </row>
    <row r="64" spans="1:6" x14ac:dyDescent="0.3">
      <c r="A64" s="3"/>
      <c r="B64" s="3"/>
      <c r="C64" s="3" t="s">
        <v>2</v>
      </c>
      <c r="D64" s="17" t="s">
        <v>24</v>
      </c>
      <c r="E64" s="20">
        <v>121879.55</v>
      </c>
      <c r="F64" s="20">
        <v>121516.63</v>
      </c>
    </row>
    <row r="65" spans="1:6" x14ac:dyDescent="0.3">
      <c r="A65" s="3"/>
      <c r="B65" s="3"/>
      <c r="C65" s="3" t="s">
        <v>3</v>
      </c>
      <c r="D65" s="17" t="s">
        <v>24</v>
      </c>
      <c r="E65" s="20">
        <v>121879.55</v>
      </c>
      <c r="F65" s="20">
        <v>121516.63</v>
      </c>
    </row>
    <row r="66" spans="1:6" x14ac:dyDescent="0.3">
      <c r="A66" s="3"/>
      <c r="B66" s="3"/>
      <c r="C66" s="3" t="s">
        <v>4</v>
      </c>
      <c r="D66" s="17" t="s">
        <v>24</v>
      </c>
      <c r="E66" s="20">
        <v>121879.55</v>
      </c>
      <c r="F66" s="20">
        <v>121516.63</v>
      </c>
    </row>
    <row r="67" spans="1:6" ht="15" thickBot="1" x14ac:dyDescent="0.35">
      <c r="A67" s="3"/>
      <c r="B67" s="5"/>
      <c r="C67" s="5" t="s">
        <v>5</v>
      </c>
      <c r="D67" s="18" t="s">
        <v>24</v>
      </c>
      <c r="E67" s="22">
        <v>121879.55</v>
      </c>
      <c r="F67" s="22">
        <v>121516.63</v>
      </c>
    </row>
    <row r="68" spans="1:6" x14ac:dyDescent="0.3">
      <c r="A68" s="3"/>
      <c r="B68" s="1">
        <v>4</v>
      </c>
      <c r="C68" s="1" t="s">
        <v>1</v>
      </c>
      <c r="D68" s="16" t="s">
        <v>25</v>
      </c>
      <c r="E68" s="19">
        <v>77398.490000000049</v>
      </c>
      <c r="F68" s="19">
        <v>77398.490000000049</v>
      </c>
    </row>
    <row r="69" spans="1:6" x14ac:dyDescent="0.3">
      <c r="A69" s="3"/>
      <c r="B69" s="3"/>
      <c r="C69" s="3" t="s">
        <v>2</v>
      </c>
      <c r="D69" s="17" t="s">
        <v>25</v>
      </c>
      <c r="E69" s="20">
        <v>77398.490000000049</v>
      </c>
      <c r="F69" s="20">
        <v>77398.490000000049</v>
      </c>
    </row>
    <row r="70" spans="1:6" x14ac:dyDescent="0.3">
      <c r="A70" s="3"/>
      <c r="B70" s="3"/>
      <c r="C70" s="3" t="s">
        <v>3</v>
      </c>
      <c r="D70" s="17" t="s">
        <v>25</v>
      </c>
      <c r="E70" s="20">
        <v>77398.490000000049</v>
      </c>
      <c r="F70" s="20">
        <v>77398.490000000049</v>
      </c>
    </row>
    <row r="71" spans="1:6" x14ac:dyDescent="0.3">
      <c r="A71" s="3"/>
      <c r="B71" s="3"/>
      <c r="C71" s="3" t="s">
        <v>4</v>
      </c>
      <c r="D71" s="17" t="s">
        <v>25</v>
      </c>
      <c r="E71" s="20">
        <v>77398.490000000049</v>
      </c>
      <c r="F71" s="20">
        <v>77398.490000000049</v>
      </c>
    </row>
    <row r="72" spans="1:6" ht="15" thickBot="1" x14ac:dyDescent="0.35">
      <c r="A72" s="3"/>
      <c r="B72" s="5"/>
      <c r="C72" s="5" t="s">
        <v>5</v>
      </c>
      <c r="D72" s="18" t="s">
        <v>25</v>
      </c>
      <c r="E72" s="22">
        <v>77398.490000000049</v>
      </c>
      <c r="F72" s="22">
        <v>77398.490000000049</v>
      </c>
    </row>
    <row r="73" spans="1:6" x14ac:dyDescent="0.3">
      <c r="A73" s="3"/>
      <c r="B73" s="3">
        <v>5</v>
      </c>
      <c r="C73" s="3" t="s">
        <v>1</v>
      </c>
      <c r="D73" s="17" t="s">
        <v>26</v>
      </c>
      <c r="E73" s="20">
        <v>73727.150000000009</v>
      </c>
      <c r="F73" s="20">
        <v>71931.249999999956</v>
      </c>
    </row>
    <row r="74" spans="1:6" x14ac:dyDescent="0.3">
      <c r="A74" s="3"/>
      <c r="B74" s="3"/>
      <c r="C74" s="3" t="s">
        <v>2</v>
      </c>
      <c r="D74" s="17" t="s">
        <v>26</v>
      </c>
      <c r="E74" s="20">
        <v>73727.150000000009</v>
      </c>
      <c r="F74" s="20">
        <v>71931.249999999956</v>
      </c>
    </row>
    <row r="75" spans="1:6" x14ac:dyDescent="0.3">
      <c r="A75" s="3"/>
      <c r="B75" s="3"/>
      <c r="C75" s="3" t="s">
        <v>3</v>
      </c>
      <c r="D75" s="17" t="s">
        <v>26</v>
      </c>
      <c r="E75" s="20">
        <v>73727.150000000009</v>
      </c>
      <c r="F75" s="20">
        <v>71931.249999999956</v>
      </c>
    </row>
    <row r="76" spans="1:6" x14ac:dyDescent="0.3">
      <c r="A76" s="3"/>
      <c r="B76" s="3"/>
      <c r="C76" s="3" t="s">
        <v>4</v>
      </c>
      <c r="D76" s="17" t="s">
        <v>26</v>
      </c>
      <c r="E76" s="20">
        <v>73727.150000000009</v>
      </c>
      <c r="F76" s="20">
        <v>71931.249999999956</v>
      </c>
    </row>
    <row r="77" spans="1:6" ht="15" thickBot="1" x14ac:dyDescent="0.35">
      <c r="A77" s="5"/>
      <c r="B77" s="5"/>
      <c r="C77" s="5" t="s">
        <v>5</v>
      </c>
      <c r="D77" s="17" t="s">
        <v>26</v>
      </c>
      <c r="E77" s="20">
        <v>73727.150000000009</v>
      </c>
      <c r="F77" s="22">
        <v>71931.249999999956</v>
      </c>
    </row>
    <row r="78" spans="1:6" x14ac:dyDescent="0.3">
      <c r="A78" s="3">
        <v>8</v>
      </c>
      <c r="B78" s="1">
        <v>1</v>
      </c>
      <c r="C78" s="1" t="s">
        <v>1</v>
      </c>
      <c r="D78" s="16" t="s">
        <v>27</v>
      </c>
      <c r="E78" s="19">
        <v>85584.33</v>
      </c>
      <c r="F78" s="19">
        <v>85584.33</v>
      </c>
    </row>
    <row r="79" spans="1:6" x14ac:dyDescent="0.3">
      <c r="A79" s="3"/>
      <c r="B79" s="3"/>
      <c r="C79" s="3" t="s">
        <v>2</v>
      </c>
      <c r="D79" s="17" t="s">
        <v>27</v>
      </c>
      <c r="E79" s="20">
        <v>85584.33</v>
      </c>
      <c r="F79" s="20">
        <v>85584.33</v>
      </c>
    </row>
    <row r="80" spans="1:6" x14ac:dyDescent="0.3">
      <c r="A80" s="3"/>
      <c r="B80" s="3"/>
      <c r="C80" s="3" t="s">
        <v>3</v>
      </c>
      <c r="D80" s="17" t="s">
        <v>27</v>
      </c>
      <c r="E80" s="20">
        <v>85584.33</v>
      </c>
      <c r="F80" s="20">
        <v>85584.33</v>
      </c>
    </row>
    <row r="81" spans="1:6" x14ac:dyDescent="0.3">
      <c r="A81" s="3"/>
      <c r="B81" s="3"/>
      <c r="C81" s="3" t="s">
        <v>4</v>
      </c>
      <c r="D81" s="17" t="s">
        <v>27</v>
      </c>
      <c r="E81" s="20">
        <v>85584.33</v>
      </c>
      <c r="F81" s="20">
        <v>85584.33</v>
      </c>
    </row>
    <row r="82" spans="1:6" ht="15" thickBot="1" x14ac:dyDescent="0.35">
      <c r="A82" s="3"/>
      <c r="B82" s="5"/>
      <c r="C82" s="5" t="s">
        <v>5</v>
      </c>
      <c r="D82" s="18" t="s">
        <v>27</v>
      </c>
      <c r="E82" s="22">
        <v>85584.33</v>
      </c>
      <c r="F82" s="22">
        <v>85584.33</v>
      </c>
    </row>
    <row r="83" spans="1:6" x14ac:dyDescent="0.3">
      <c r="A83" s="3"/>
      <c r="B83" s="1">
        <v>2</v>
      </c>
      <c r="C83" s="1" t="s">
        <v>1</v>
      </c>
      <c r="D83" s="16" t="s">
        <v>28</v>
      </c>
      <c r="E83" s="19">
        <v>113999.81</v>
      </c>
      <c r="F83" s="19">
        <v>113999.81</v>
      </c>
    </row>
    <row r="84" spans="1:6" x14ac:dyDescent="0.3">
      <c r="A84" s="3"/>
      <c r="B84" s="3"/>
      <c r="C84" s="3" t="s">
        <v>2</v>
      </c>
      <c r="D84" s="17" t="s">
        <v>28</v>
      </c>
      <c r="E84" s="20">
        <v>113999.81</v>
      </c>
      <c r="F84" s="20">
        <v>113999.81</v>
      </c>
    </row>
    <row r="85" spans="1:6" x14ac:dyDescent="0.3">
      <c r="A85" s="3"/>
      <c r="B85" s="3"/>
      <c r="C85" s="3" t="s">
        <v>3</v>
      </c>
      <c r="D85" s="17" t="s">
        <v>28</v>
      </c>
      <c r="E85" s="20">
        <v>113999.81</v>
      </c>
      <c r="F85" s="20">
        <v>113999.81</v>
      </c>
    </row>
    <row r="86" spans="1:6" x14ac:dyDescent="0.3">
      <c r="A86" s="3"/>
      <c r="B86" s="3"/>
      <c r="C86" s="3" t="s">
        <v>4</v>
      </c>
      <c r="D86" s="17" t="s">
        <v>28</v>
      </c>
      <c r="E86" s="20">
        <v>113999.81</v>
      </c>
      <c r="F86" s="20">
        <v>113999.81</v>
      </c>
    </row>
    <row r="87" spans="1:6" ht="15" thickBot="1" x14ac:dyDescent="0.35">
      <c r="A87" s="3"/>
      <c r="B87" s="5"/>
      <c r="C87" s="5" t="s">
        <v>5</v>
      </c>
      <c r="D87" s="18" t="s">
        <v>29</v>
      </c>
      <c r="E87" s="22">
        <v>113999.81</v>
      </c>
      <c r="F87" s="22">
        <v>113999.81</v>
      </c>
    </row>
    <row r="88" spans="1:6" x14ac:dyDescent="0.3">
      <c r="A88" s="3"/>
      <c r="B88" s="1">
        <v>3</v>
      </c>
      <c r="C88" s="1" t="s">
        <v>1</v>
      </c>
      <c r="D88" s="16" t="s">
        <v>30</v>
      </c>
      <c r="E88" s="19">
        <v>122523.42</v>
      </c>
      <c r="F88" s="19">
        <v>122523.42</v>
      </c>
    </row>
    <row r="89" spans="1:6" x14ac:dyDescent="0.3">
      <c r="A89" s="3"/>
      <c r="B89" s="3"/>
      <c r="C89" s="3" t="s">
        <v>2</v>
      </c>
      <c r="D89" s="17" t="s">
        <v>30</v>
      </c>
      <c r="E89" s="20">
        <v>122523.42</v>
      </c>
      <c r="F89" s="20">
        <v>122523.42</v>
      </c>
    </row>
    <row r="90" spans="1:6" x14ac:dyDescent="0.3">
      <c r="A90" s="3"/>
      <c r="B90" s="3"/>
      <c r="C90" s="3" t="s">
        <v>3</v>
      </c>
      <c r="D90" s="17" t="s">
        <v>30</v>
      </c>
      <c r="E90" s="20">
        <v>122523.42</v>
      </c>
      <c r="F90" s="20">
        <v>122523.42</v>
      </c>
    </row>
    <row r="91" spans="1:6" x14ac:dyDescent="0.3">
      <c r="A91" s="3"/>
      <c r="B91" s="3"/>
      <c r="C91" s="3" t="s">
        <v>4</v>
      </c>
      <c r="D91" s="17" t="s">
        <v>30</v>
      </c>
      <c r="E91" s="20">
        <v>122523.42</v>
      </c>
      <c r="F91" s="20">
        <v>122523.42</v>
      </c>
    </row>
    <row r="92" spans="1:6" ht="15" thickBot="1" x14ac:dyDescent="0.35">
      <c r="A92" s="3"/>
      <c r="B92" s="5"/>
      <c r="C92" s="5" t="s">
        <v>5</v>
      </c>
      <c r="D92" s="18" t="s">
        <v>30</v>
      </c>
      <c r="E92" s="22">
        <v>122523.42</v>
      </c>
      <c r="F92" s="22">
        <v>122523.42</v>
      </c>
    </row>
    <row r="93" spans="1:6" x14ac:dyDescent="0.3">
      <c r="A93" s="3"/>
      <c r="B93" s="1">
        <v>4</v>
      </c>
      <c r="C93" s="1" t="s">
        <v>1</v>
      </c>
      <c r="D93" s="16" t="s">
        <v>31</v>
      </c>
      <c r="E93" s="19">
        <v>91072.34</v>
      </c>
      <c r="F93" s="19">
        <v>91072.34</v>
      </c>
    </row>
    <row r="94" spans="1:6" x14ac:dyDescent="0.3">
      <c r="A94" s="3"/>
      <c r="B94" s="3"/>
      <c r="C94" s="3" t="s">
        <v>2</v>
      </c>
      <c r="D94" s="17" t="s">
        <v>31</v>
      </c>
      <c r="E94" s="20">
        <v>91072.34</v>
      </c>
      <c r="F94" s="20">
        <v>91072.34</v>
      </c>
    </row>
    <row r="95" spans="1:6" x14ac:dyDescent="0.3">
      <c r="A95" s="3"/>
      <c r="B95" s="3"/>
      <c r="C95" s="3" t="s">
        <v>3</v>
      </c>
      <c r="D95" s="17" t="s">
        <v>31</v>
      </c>
      <c r="E95" s="20">
        <v>91072.34</v>
      </c>
      <c r="F95" s="20">
        <v>91072.34</v>
      </c>
    </row>
    <row r="96" spans="1:6" x14ac:dyDescent="0.3">
      <c r="A96" s="3"/>
      <c r="B96" s="3"/>
      <c r="C96" s="3" t="s">
        <v>4</v>
      </c>
      <c r="D96" s="17" t="s">
        <v>31</v>
      </c>
      <c r="E96" s="20">
        <v>91072.34</v>
      </c>
      <c r="F96" s="20">
        <v>91072.34</v>
      </c>
    </row>
    <row r="97" spans="1:6" ht="15" thickBot="1" x14ac:dyDescent="0.35">
      <c r="A97" s="3"/>
      <c r="B97" s="5"/>
      <c r="C97" s="5" t="s">
        <v>5</v>
      </c>
      <c r="D97" s="18" t="s">
        <v>31</v>
      </c>
      <c r="E97" s="22">
        <v>91072.34</v>
      </c>
      <c r="F97" s="22">
        <v>91072.34</v>
      </c>
    </row>
    <row r="98" spans="1:6" x14ac:dyDescent="0.3">
      <c r="A98" s="3"/>
      <c r="B98" s="3">
        <v>5</v>
      </c>
      <c r="C98" s="3" t="s">
        <v>1</v>
      </c>
      <c r="D98" s="17" t="s">
        <v>32</v>
      </c>
      <c r="E98" s="17">
        <v>107698.81999999991</v>
      </c>
      <c r="F98" s="17">
        <v>107698.81999999991</v>
      </c>
    </row>
    <row r="99" spans="1:6" x14ac:dyDescent="0.3">
      <c r="A99" s="3"/>
      <c r="B99" s="3"/>
      <c r="C99" s="3" t="s">
        <v>2</v>
      </c>
      <c r="D99" s="17" t="s">
        <v>32</v>
      </c>
      <c r="E99" s="17">
        <v>107698.81999999991</v>
      </c>
      <c r="F99" s="17">
        <v>107698.81999999991</v>
      </c>
    </row>
    <row r="100" spans="1:6" x14ac:dyDescent="0.3">
      <c r="A100" s="3"/>
      <c r="B100" s="3"/>
      <c r="C100" s="3" t="s">
        <v>3</v>
      </c>
      <c r="D100" s="17" t="s">
        <v>32</v>
      </c>
      <c r="E100" s="17">
        <v>107698.81999999991</v>
      </c>
      <c r="F100" s="17">
        <v>107698.81999999991</v>
      </c>
    </row>
    <row r="101" spans="1:6" x14ac:dyDescent="0.3">
      <c r="A101" s="3"/>
      <c r="B101" s="3"/>
      <c r="C101" s="3" t="s">
        <v>4</v>
      </c>
      <c r="D101" s="17" t="s">
        <v>32</v>
      </c>
      <c r="E101" s="17">
        <v>107698.81999999991</v>
      </c>
      <c r="F101" s="17">
        <v>107698.81999999991</v>
      </c>
    </row>
    <row r="102" spans="1:6" ht="15" thickBot="1" x14ac:dyDescent="0.35">
      <c r="A102" s="5"/>
      <c r="B102" s="5"/>
      <c r="C102" s="5" t="s">
        <v>5</v>
      </c>
      <c r="D102" s="18" t="s">
        <v>32</v>
      </c>
      <c r="E102" s="18">
        <v>107698.81999999991</v>
      </c>
      <c r="F102" s="18">
        <v>107698.81999999991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15AA-633C-4004-9F37-37404510EEF8}">
  <dimension ref="A1:K62"/>
  <sheetViews>
    <sheetView workbookViewId="0">
      <selection activeCell="D36" sqref="D36"/>
    </sheetView>
  </sheetViews>
  <sheetFormatPr defaultRowHeight="14.4" x14ac:dyDescent="0.3"/>
  <cols>
    <col min="1" max="1" width="20.77734375" customWidth="1"/>
    <col min="2" max="2" width="12.88671875" customWidth="1"/>
    <col min="3" max="3" width="24.5546875" customWidth="1"/>
    <col min="4" max="4" width="16" customWidth="1"/>
    <col min="5" max="5" width="9.77734375" customWidth="1"/>
    <col min="6" max="6" width="9.6640625" customWidth="1"/>
    <col min="7" max="7" width="64.77734375" customWidth="1"/>
    <col min="8" max="8" width="12.33203125" customWidth="1"/>
    <col min="13" max="13" width="20.109375" customWidth="1"/>
    <col min="19" max="19" width="19.77734375" customWidth="1"/>
  </cols>
  <sheetData>
    <row r="1" spans="1:11" ht="15" thickBot="1" x14ac:dyDescent="0.35">
      <c r="A1" t="s">
        <v>33</v>
      </c>
    </row>
    <row r="2" spans="1:11" ht="15" thickBot="1" x14ac:dyDescent="0.35">
      <c r="A2" s="23" t="s">
        <v>7</v>
      </c>
      <c r="B2" s="23" t="s">
        <v>8</v>
      </c>
      <c r="C2" s="23" t="s">
        <v>34</v>
      </c>
      <c r="D2" s="23" t="s">
        <v>35</v>
      </c>
      <c r="E2" s="11"/>
      <c r="G2" s="12" t="s">
        <v>6</v>
      </c>
      <c r="H2" s="12">
        <v>5</v>
      </c>
      <c r="I2" s="24">
        <v>6</v>
      </c>
      <c r="J2" s="12">
        <v>7</v>
      </c>
      <c r="K2" s="25">
        <v>8</v>
      </c>
    </row>
    <row r="3" spans="1:11" x14ac:dyDescent="0.3">
      <c r="A3" s="26" t="s">
        <v>1</v>
      </c>
      <c r="B3" s="27">
        <v>1</v>
      </c>
      <c r="C3" s="27">
        <v>21</v>
      </c>
      <c r="D3" s="28">
        <v>765.90505433082592</v>
      </c>
      <c r="E3" s="29"/>
      <c r="G3" s="30" t="s">
        <v>36</v>
      </c>
      <c r="H3" s="31">
        <v>26.6</v>
      </c>
      <c r="I3" s="32">
        <v>36.4</v>
      </c>
      <c r="J3" s="31">
        <v>52.8</v>
      </c>
      <c r="K3" s="33">
        <v>78.2</v>
      </c>
    </row>
    <row r="4" spans="1:11" x14ac:dyDescent="0.3">
      <c r="A4" s="34"/>
      <c r="B4" s="35">
        <v>2</v>
      </c>
      <c r="C4" s="35">
        <v>17</v>
      </c>
      <c r="D4" s="36">
        <v>904.35430312156655</v>
      </c>
      <c r="E4" s="29"/>
      <c r="G4" s="37" t="s">
        <v>37</v>
      </c>
      <c r="H4" s="38">
        <v>11.8</v>
      </c>
      <c r="I4" s="39">
        <v>21</v>
      </c>
      <c r="J4" s="38">
        <v>35.6</v>
      </c>
      <c r="K4" s="40">
        <v>33.799999999999997</v>
      </c>
    </row>
    <row r="5" spans="1:11" x14ac:dyDescent="0.3">
      <c r="A5" s="34"/>
      <c r="B5" s="35">
        <v>3</v>
      </c>
      <c r="C5" s="35">
        <v>25</v>
      </c>
      <c r="D5" s="36">
        <v>165.661238</v>
      </c>
      <c r="E5" s="29"/>
      <c r="G5" s="37" t="s">
        <v>38</v>
      </c>
      <c r="H5" s="41">
        <v>624.07602597181085</v>
      </c>
      <c r="I5" s="42">
        <v>699.20721388147149</v>
      </c>
      <c r="J5" s="41">
        <v>1017.3052653319999</v>
      </c>
      <c r="K5" s="43">
        <v>1345.0913509048632</v>
      </c>
    </row>
    <row r="6" spans="1:11" ht="15" thickBot="1" x14ac:dyDescent="0.35">
      <c r="A6" s="34"/>
      <c r="B6" s="35">
        <v>4</v>
      </c>
      <c r="C6" s="35">
        <v>18</v>
      </c>
      <c r="D6" s="36">
        <v>203.94361019134521</v>
      </c>
      <c r="E6" s="29"/>
      <c r="G6" s="44" t="s">
        <v>39</v>
      </c>
      <c r="H6" s="45">
        <v>287.68521933188333</v>
      </c>
      <c r="I6" s="46">
        <v>443.80052300250327</v>
      </c>
      <c r="J6" s="45">
        <v>419.99091741199999</v>
      </c>
      <c r="K6" s="47">
        <v>464.6431247242038</v>
      </c>
    </row>
    <row r="7" spans="1:11" ht="15" thickBot="1" x14ac:dyDescent="0.35">
      <c r="A7" s="34"/>
      <c r="B7" s="48">
        <v>5</v>
      </c>
      <c r="C7" s="48">
        <v>52</v>
      </c>
      <c r="D7" s="49">
        <v>1080.5159242153168</v>
      </c>
      <c r="E7" s="29"/>
    </row>
    <row r="8" spans="1:11" ht="15" thickBot="1" x14ac:dyDescent="0.35">
      <c r="A8" s="50"/>
      <c r="B8" s="51" t="s">
        <v>40</v>
      </c>
      <c r="C8" s="52">
        <f>AVERAGE(C3:C7)</f>
        <v>26.6</v>
      </c>
      <c r="D8" s="53">
        <f>AVERAGE(D3:D7)</f>
        <v>624.07602597181085</v>
      </c>
      <c r="E8" s="29"/>
    </row>
    <row r="9" spans="1:11" x14ac:dyDescent="0.3">
      <c r="A9" s="26" t="s">
        <v>2</v>
      </c>
      <c r="B9" s="27">
        <v>1</v>
      </c>
      <c r="C9" s="27">
        <v>11</v>
      </c>
      <c r="D9" s="28">
        <v>332.05605602999998</v>
      </c>
      <c r="E9" s="29"/>
      <c r="F9" s="29"/>
    </row>
    <row r="10" spans="1:11" x14ac:dyDescent="0.3">
      <c r="A10" s="34"/>
      <c r="B10" s="35">
        <v>2</v>
      </c>
      <c r="C10" s="35">
        <v>14</v>
      </c>
      <c r="D10" s="36">
        <v>552.69638630999998</v>
      </c>
      <c r="E10" s="29"/>
      <c r="F10" s="29"/>
    </row>
    <row r="11" spans="1:11" x14ac:dyDescent="0.3">
      <c r="A11" s="34"/>
      <c r="B11" s="35">
        <v>3</v>
      </c>
      <c r="C11" s="35">
        <v>10</v>
      </c>
      <c r="D11" s="36">
        <v>69.138695479999996</v>
      </c>
      <c r="E11" s="29"/>
      <c r="F11" s="29"/>
    </row>
    <row r="12" spans="1:11" x14ac:dyDescent="0.3">
      <c r="A12" s="34"/>
      <c r="B12" s="35">
        <v>4</v>
      </c>
      <c r="C12" s="35">
        <v>9</v>
      </c>
      <c r="D12" s="36">
        <v>66.168155908584595</v>
      </c>
      <c r="E12" s="29"/>
      <c r="F12" s="29"/>
    </row>
    <row r="13" spans="1:11" ht="15" thickBot="1" x14ac:dyDescent="0.35">
      <c r="A13" s="34"/>
      <c r="B13" s="48">
        <v>5</v>
      </c>
      <c r="C13" s="48">
        <v>15</v>
      </c>
      <c r="D13" s="49">
        <v>418.36680293083185</v>
      </c>
      <c r="E13" s="29"/>
      <c r="F13" s="29"/>
    </row>
    <row r="14" spans="1:11" ht="15" thickBot="1" x14ac:dyDescent="0.35">
      <c r="A14" s="50"/>
      <c r="B14" s="51" t="s">
        <v>40</v>
      </c>
      <c r="C14" s="52">
        <f>AVERAGE(C9:C13)</f>
        <v>11.8</v>
      </c>
      <c r="D14" s="53">
        <f>AVERAGE(D9:D13)</f>
        <v>287.68521933188333</v>
      </c>
      <c r="E14" s="29"/>
      <c r="F14" s="29"/>
    </row>
    <row r="17" spans="1:5" x14ac:dyDescent="0.3">
      <c r="A17" t="s">
        <v>41</v>
      </c>
    </row>
    <row r="18" spans="1:5" ht="15" thickBot="1" x14ac:dyDescent="0.35">
      <c r="A18" s="23" t="s">
        <v>7</v>
      </c>
      <c r="B18" s="23" t="s">
        <v>8</v>
      </c>
      <c r="C18" s="23" t="s">
        <v>42</v>
      </c>
      <c r="D18" s="23" t="s">
        <v>35</v>
      </c>
      <c r="E18" s="11"/>
    </row>
    <row r="19" spans="1:5" x14ac:dyDescent="0.3">
      <c r="A19" s="26" t="s">
        <v>1</v>
      </c>
      <c r="B19" s="27">
        <v>1</v>
      </c>
      <c r="C19" s="27">
        <v>36</v>
      </c>
      <c r="D19" s="28">
        <v>403.56437039999997</v>
      </c>
      <c r="E19" s="29"/>
    </row>
    <row r="20" spans="1:5" x14ac:dyDescent="0.3">
      <c r="A20" s="34"/>
      <c r="B20" s="35">
        <v>2</v>
      </c>
      <c r="C20" s="35">
        <v>38</v>
      </c>
      <c r="D20" s="36">
        <v>481.89436049999995</v>
      </c>
      <c r="E20" s="29"/>
    </row>
    <row r="21" spans="1:5" x14ac:dyDescent="0.3">
      <c r="A21" s="34"/>
      <c r="B21" s="35">
        <v>3</v>
      </c>
      <c r="C21" s="35">
        <v>35</v>
      </c>
      <c r="D21" s="36">
        <v>947.93158869999991</v>
      </c>
      <c r="E21" s="29"/>
    </row>
    <row r="22" spans="1:5" x14ac:dyDescent="0.3">
      <c r="A22" s="34"/>
      <c r="B22" s="35">
        <v>4</v>
      </c>
      <c r="C22" s="35">
        <v>33</v>
      </c>
      <c r="D22" s="36">
        <v>685.59239482879639</v>
      </c>
      <c r="E22" s="29"/>
    </row>
    <row r="23" spans="1:5" ht="15" thickBot="1" x14ac:dyDescent="0.35">
      <c r="A23" s="34"/>
      <c r="B23" s="48">
        <v>5</v>
      </c>
      <c r="C23" s="48">
        <v>40</v>
      </c>
      <c r="D23" s="49">
        <v>977.0533549785614</v>
      </c>
      <c r="E23" s="29"/>
    </row>
    <row r="24" spans="1:5" ht="15" thickBot="1" x14ac:dyDescent="0.35">
      <c r="A24" s="54"/>
      <c r="B24" s="51" t="s">
        <v>40</v>
      </c>
      <c r="C24" s="52">
        <f>AVERAGE(C19:C23)</f>
        <v>36.4</v>
      </c>
      <c r="D24" s="53">
        <f>AVERAGE(D19:D23)</f>
        <v>699.20721388147149</v>
      </c>
      <c r="E24" s="29"/>
    </row>
    <row r="25" spans="1:5" x14ac:dyDescent="0.3">
      <c r="A25" s="26" t="s">
        <v>2</v>
      </c>
      <c r="B25" s="27">
        <v>1</v>
      </c>
      <c r="C25" s="27">
        <v>15</v>
      </c>
      <c r="D25" s="28">
        <v>164.00472903251651</v>
      </c>
      <c r="E25" s="29"/>
    </row>
    <row r="26" spans="1:5" x14ac:dyDescent="0.3">
      <c r="A26" s="34"/>
      <c r="B26" s="35">
        <v>2</v>
      </c>
      <c r="C26" s="35">
        <v>20</v>
      </c>
      <c r="D26" s="36">
        <v>364.20785546000002</v>
      </c>
      <c r="E26" s="29"/>
    </row>
    <row r="27" spans="1:5" x14ac:dyDescent="0.3">
      <c r="A27" s="34"/>
      <c r="B27" s="35">
        <v>3</v>
      </c>
      <c r="C27" s="35">
        <v>15</v>
      </c>
      <c r="D27" s="36">
        <v>426.48851774000002</v>
      </c>
      <c r="E27" s="29"/>
    </row>
    <row r="28" spans="1:5" x14ac:dyDescent="0.3">
      <c r="A28" s="34"/>
      <c r="B28" s="35">
        <v>4</v>
      </c>
      <c r="C28" s="35">
        <v>27</v>
      </c>
      <c r="D28" s="36">
        <v>699.83798059999992</v>
      </c>
      <c r="E28" s="29"/>
    </row>
    <row r="29" spans="1:5" ht="15" thickBot="1" x14ac:dyDescent="0.35">
      <c r="A29" s="34"/>
      <c r="B29" s="48">
        <v>5</v>
      </c>
      <c r="C29" s="48">
        <v>28</v>
      </c>
      <c r="D29" s="49">
        <v>564.46353218000002</v>
      </c>
      <c r="E29" s="29"/>
    </row>
    <row r="30" spans="1:5" ht="15" thickBot="1" x14ac:dyDescent="0.35">
      <c r="A30" s="50"/>
      <c r="B30" s="51" t="s">
        <v>40</v>
      </c>
      <c r="C30" s="52">
        <f>AVERAGE(C25:C29)</f>
        <v>21</v>
      </c>
      <c r="D30" s="53">
        <f>AVERAGE(D25:D29)</f>
        <v>443.80052300250327</v>
      </c>
      <c r="E30" s="29"/>
    </row>
    <row r="33" spans="1:5" x14ac:dyDescent="0.3">
      <c r="A33" t="s">
        <v>43</v>
      </c>
    </row>
    <row r="34" spans="1:5" ht="15" thickBot="1" x14ac:dyDescent="0.35">
      <c r="A34" s="23" t="s">
        <v>7</v>
      </c>
      <c r="B34" s="23" t="s">
        <v>8</v>
      </c>
      <c r="C34" s="23" t="s">
        <v>42</v>
      </c>
      <c r="D34" s="23" t="s">
        <v>35</v>
      </c>
      <c r="E34" s="11"/>
    </row>
    <row r="35" spans="1:5" x14ac:dyDescent="0.3">
      <c r="A35" s="26" t="s">
        <v>1</v>
      </c>
      <c r="B35" s="27">
        <v>1</v>
      </c>
      <c r="C35" s="27">
        <v>41</v>
      </c>
      <c r="D35" s="28">
        <v>543.93993105999994</v>
      </c>
      <c r="E35" s="29"/>
    </row>
    <row r="36" spans="1:5" x14ac:dyDescent="0.3">
      <c r="A36" s="34"/>
      <c r="B36" s="35">
        <v>2</v>
      </c>
      <c r="C36" s="35">
        <v>60</v>
      </c>
      <c r="D36" s="36">
        <v>313.4530201</v>
      </c>
      <c r="E36" s="29"/>
    </row>
    <row r="37" spans="1:5" x14ac:dyDescent="0.3">
      <c r="A37" s="34"/>
      <c r="B37" s="35">
        <v>3</v>
      </c>
      <c r="C37" s="35">
        <v>51</v>
      </c>
      <c r="D37" s="36">
        <v>910.61942700000009</v>
      </c>
      <c r="E37" s="29"/>
    </row>
    <row r="38" spans="1:5" x14ac:dyDescent="0.3">
      <c r="A38" s="34"/>
      <c r="B38" s="35">
        <v>4</v>
      </c>
      <c r="C38" s="35">
        <v>58</v>
      </c>
      <c r="D38" s="36">
        <v>1265.2147746999999</v>
      </c>
      <c r="E38" s="29"/>
    </row>
    <row r="39" spans="1:5" ht="15" thickBot="1" x14ac:dyDescent="0.35">
      <c r="A39" s="34"/>
      <c r="B39" s="48">
        <v>5</v>
      </c>
      <c r="C39" s="48">
        <v>54</v>
      </c>
      <c r="D39" s="49">
        <v>2053.2991738000001</v>
      </c>
      <c r="E39" s="29"/>
    </row>
    <row r="40" spans="1:5" ht="15" thickBot="1" x14ac:dyDescent="0.35">
      <c r="A40" s="50"/>
      <c r="B40" s="51" t="s">
        <v>40</v>
      </c>
      <c r="C40" s="52">
        <f>AVERAGE(C35:C39)</f>
        <v>52.8</v>
      </c>
      <c r="D40" s="53">
        <f>AVERAGE(D35:D39)</f>
        <v>1017.3052653319999</v>
      </c>
      <c r="E40" s="29"/>
    </row>
    <row r="41" spans="1:5" x14ac:dyDescent="0.3">
      <c r="A41" s="26" t="s">
        <v>2</v>
      </c>
      <c r="B41" s="27">
        <v>1</v>
      </c>
      <c r="C41" s="27">
        <v>23</v>
      </c>
      <c r="D41" s="28">
        <v>161.47911667</v>
      </c>
      <c r="E41" s="29"/>
    </row>
    <row r="42" spans="1:5" x14ac:dyDescent="0.3">
      <c r="A42" s="34"/>
      <c r="B42" s="35">
        <v>2</v>
      </c>
      <c r="C42" s="35">
        <v>68</v>
      </c>
      <c r="D42" s="36">
        <v>71.607813359999994</v>
      </c>
      <c r="E42" s="29"/>
    </row>
    <row r="43" spans="1:5" x14ac:dyDescent="0.3">
      <c r="A43" s="34"/>
      <c r="B43" s="35">
        <v>3</v>
      </c>
      <c r="C43" s="35">
        <v>29</v>
      </c>
      <c r="D43" s="36">
        <v>275.83393788000001</v>
      </c>
      <c r="E43" s="29"/>
    </row>
    <row r="44" spans="1:5" x14ac:dyDescent="0.3">
      <c r="A44" s="34"/>
      <c r="B44" s="35">
        <v>4</v>
      </c>
      <c r="C44" s="35">
        <v>40</v>
      </c>
      <c r="D44" s="36">
        <v>743.93763041000011</v>
      </c>
      <c r="E44" s="29"/>
    </row>
    <row r="45" spans="1:5" ht="15" thickBot="1" x14ac:dyDescent="0.35">
      <c r="A45" s="34"/>
      <c r="B45" s="48">
        <v>5</v>
      </c>
      <c r="C45" s="48">
        <v>18</v>
      </c>
      <c r="D45" s="49">
        <v>847.09608873999991</v>
      </c>
      <c r="E45" s="29"/>
    </row>
    <row r="46" spans="1:5" ht="15" thickBot="1" x14ac:dyDescent="0.35">
      <c r="A46" s="50"/>
      <c r="B46" s="51" t="s">
        <v>40</v>
      </c>
      <c r="C46" s="52">
        <f>AVERAGE(C41:C45)</f>
        <v>35.6</v>
      </c>
      <c r="D46" s="53">
        <f>AVERAGE(D41:D45)</f>
        <v>419.99091741199999</v>
      </c>
      <c r="E46" s="29"/>
    </row>
    <row r="49" spans="1:4" ht="15" thickBot="1" x14ac:dyDescent="0.35">
      <c r="A49" t="s">
        <v>44</v>
      </c>
    </row>
    <row r="50" spans="1:4" ht="15" thickBot="1" x14ac:dyDescent="0.35">
      <c r="A50" s="55" t="s">
        <v>7</v>
      </c>
      <c r="B50" s="56" t="s">
        <v>8</v>
      </c>
      <c r="C50" s="56" t="s">
        <v>42</v>
      </c>
      <c r="D50" s="57" t="s">
        <v>35</v>
      </c>
    </row>
    <row r="51" spans="1:4" x14ac:dyDescent="0.3">
      <c r="A51" s="26" t="s">
        <v>1</v>
      </c>
      <c r="B51" s="27">
        <v>1</v>
      </c>
      <c r="C51" s="27">
        <v>76</v>
      </c>
      <c r="D51" s="28">
        <v>2212.2566151999999</v>
      </c>
    </row>
    <row r="52" spans="1:4" x14ac:dyDescent="0.3">
      <c r="A52" s="34"/>
      <c r="B52" s="35">
        <v>2</v>
      </c>
      <c r="C52" s="35">
        <v>67</v>
      </c>
      <c r="D52" s="36">
        <v>1497.3957799</v>
      </c>
    </row>
    <row r="53" spans="1:4" x14ac:dyDescent="0.3">
      <c r="A53" s="34"/>
      <c r="B53" s="35">
        <v>3</v>
      </c>
      <c r="C53" s="35">
        <v>71</v>
      </c>
      <c r="D53" s="36">
        <v>1793.3251724243164</v>
      </c>
    </row>
    <row r="54" spans="1:4" x14ac:dyDescent="0.3">
      <c r="A54" s="34"/>
      <c r="B54" s="35">
        <v>4</v>
      </c>
      <c r="C54" s="35">
        <v>110</v>
      </c>
      <c r="D54" s="36">
        <v>312.06616259999998</v>
      </c>
    </row>
    <row r="55" spans="1:4" ht="15" thickBot="1" x14ac:dyDescent="0.35">
      <c r="A55" s="34"/>
      <c r="B55" s="48">
        <v>5</v>
      </c>
      <c r="C55" s="48">
        <v>67</v>
      </c>
      <c r="D55" s="49">
        <v>910.41302440000004</v>
      </c>
    </row>
    <row r="56" spans="1:4" ht="15" thickBot="1" x14ac:dyDescent="0.35">
      <c r="A56" s="50"/>
      <c r="B56" s="51" t="s">
        <v>40</v>
      </c>
      <c r="C56" s="52">
        <f>AVERAGE(C51:C55)</f>
        <v>78.2</v>
      </c>
      <c r="D56" s="53">
        <f>AVERAGE(D51:D55)</f>
        <v>1345.0913509048632</v>
      </c>
    </row>
    <row r="57" spans="1:4" x14ac:dyDescent="0.3">
      <c r="A57" s="58" t="s">
        <v>2</v>
      </c>
      <c r="B57" s="59">
        <v>1</v>
      </c>
      <c r="C57" s="59">
        <v>42</v>
      </c>
      <c r="D57" s="60">
        <v>777.99318269000003</v>
      </c>
    </row>
    <row r="58" spans="1:4" x14ac:dyDescent="0.3">
      <c r="A58" s="34"/>
      <c r="B58" s="35">
        <v>2</v>
      </c>
      <c r="C58" s="35">
        <v>34</v>
      </c>
      <c r="D58" s="36">
        <v>611.07935644999998</v>
      </c>
    </row>
    <row r="59" spans="1:4" x14ac:dyDescent="0.3">
      <c r="A59" s="34"/>
      <c r="B59" s="35">
        <v>3</v>
      </c>
      <c r="C59" s="35">
        <v>29</v>
      </c>
      <c r="D59" s="36">
        <v>525.08747502999995</v>
      </c>
    </row>
    <row r="60" spans="1:4" x14ac:dyDescent="0.3">
      <c r="A60" s="34"/>
      <c r="B60" s="35">
        <v>4</v>
      </c>
      <c r="C60" s="35">
        <v>35</v>
      </c>
      <c r="D60" s="36">
        <v>92.154122591018677</v>
      </c>
    </row>
    <row r="61" spans="1:4" ht="15" thickBot="1" x14ac:dyDescent="0.35">
      <c r="A61" s="34"/>
      <c r="B61" s="48">
        <v>5</v>
      </c>
      <c r="C61" s="48">
        <v>29</v>
      </c>
      <c r="D61" s="49">
        <v>316.90148686000003</v>
      </c>
    </row>
    <row r="62" spans="1:4" ht="15" thickBot="1" x14ac:dyDescent="0.35">
      <c r="A62" s="50"/>
      <c r="B62" s="51" t="s">
        <v>40</v>
      </c>
      <c r="C62" s="52">
        <f>AVERAGE(C57:C61)</f>
        <v>33.799999999999997</v>
      </c>
      <c r="D62" s="53">
        <f>AVERAGE(D57:D61)</f>
        <v>464.6431247242038</v>
      </c>
    </row>
  </sheetData>
  <mergeCells count="8">
    <mergeCell ref="A51:A56"/>
    <mergeCell ref="A57:A62"/>
    <mergeCell ref="A3:A8"/>
    <mergeCell ref="A9:A14"/>
    <mergeCell ref="A19:A24"/>
    <mergeCell ref="A25:A30"/>
    <mergeCell ref="A35:A40"/>
    <mergeCell ref="A41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Computational time</vt:lpstr>
      <vt:lpstr>Optimality gap</vt:lpstr>
      <vt:lpstr>Impact of clustering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Chathurika Srimali Gunasekara Ekanayaka Mudiyanselage</dc:creator>
  <cp:lastModifiedBy>Chathurika Srimali Gunasekara Ekanayaka Mudiyanselage </cp:lastModifiedBy>
  <dcterms:created xsi:type="dcterms:W3CDTF">2015-06-05T18:17:20Z</dcterms:created>
  <dcterms:modified xsi:type="dcterms:W3CDTF">2026-06-22T15:09:45Z</dcterms:modified>
</cp:coreProperties>
</file>